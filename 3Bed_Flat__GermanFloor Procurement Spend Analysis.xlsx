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PROCUREMENT CETT\PROCUREMENT SPEND ANALYSIS\"/>
    </mc:Choice>
  </mc:AlternateContent>
  <xr:revisionPtr revIDLastSave="0" documentId="13_ncr:1_{B88EBB9A-B983-479F-86B4-7932EA7AE4F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roject Overview" sheetId="1" r:id="rId1"/>
    <sheet name="Bill of Quantities" sheetId="2" r:id="rId2"/>
    <sheet name="Labour Cost" sheetId="3" r:id="rId3"/>
    <sheet name="Supplier Analysis" sheetId="4" r:id="rId4"/>
    <sheet name="Professional Fees" sheetId="5" r:id="rId5"/>
    <sheet name="PO Tracker" sheetId="6" r:id="rId6"/>
    <sheet name="Budget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7" l="1"/>
  <c r="D16" i="7"/>
  <c r="F15" i="7"/>
  <c r="G15" i="7" s="1"/>
  <c r="F14" i="7"/>
  <c r="G14" i="7" s="1"/>
  <c r="F13" i="7"/>
  <c r="F12" i="7"/>
  <c r="F11" i="7"/>
  <c r="G11" i="7" s="1"/>
  <c r="F10" i="7"/>
  <c r="D5" i="7"/>
  <c r="B5" i="7"/>
  <c r="K48" i="6"/>
  <c r="H48" i="6"/>
  <c r="E48" i="6"/>
  <c r="B48" i="6"/>
  <c r="G45" i="6"/>
  <c r="F22" i="5"/>
  <c r="G4" i="5"/>
  <c r="I81" i="3"/>
  <c r="J81" i="3" s="1"/>
  <c r="J80" i="3"/>
  <c r="I80" i="3"/>
  <c r="I79" i="3"/>
  <c r="J79" i="3" s="1"/>
  <c r="I78" i="3"/>
  <c r="J78" i="3" s="1"/>
  <c r="I77" i="3"/>
  <c r="J77" i="3" s="1"/>
  <c r="J82" i="3" s="1"/>
  <c r="I73" i="3"/>
  <c r="J73" i="3" s="1"/>
  <c r="I72" i="3"/>
  <c r="J72" i="3" s="1"/>
  <c r="I71" i="3"/>
  <c r="J71" i="3" s="1"/>
  <c r="J74" i="3" s="1"/>
  <c r="J68" i="3"/>
  <c r="J67" i="3"/>
  <c r="I67" i="3"/>
  <c r="I66" i="3"/>
  <c r="J66" i="3" s="1"/>
  <c r="I62" i="3"/>
  <c r="J62" i="3" s="1"/>
  <c r="I61" i="3"/>
  <c r="J61" i="3" s="1"/>
  <c r="J63" i="3" s="1"/>
  <c r="I57" i="3"/>
  <c r="J57" i="3" s="1"/>
  <c r="I56" i="3"/>
  <c r="J56" i="3" s="1"/>
  <c r="I55" i="3"/>
  <c r="J55" i="3" s="1"/>
  <c r="J54" i="3"/>
  <c r="I54" i="3"/>
  <c r="I50" i="3"/>
  <c r="J50" i="3" s="1"/>
  <c r="I49" i="3"/>
  <c r="J49" i="3" s="1"/>
  <c r="I48" i="3"/>
  <c r="J48" i="3" s="1"/>
  <c r="I47" i="3"/>
  <c r="J47" i="3" s="1"/>
  <c r="J43" i="3"/>
  <c r="I43" i="3"/>
  <c r="J42" i="3"/>
  <c r="I42" i="3"/>
  <c r="J41" i="3"/>
  <c r="I41" i="3"/>
  <c r="I40" i="3"/>
  <c r="J40" i="3" s="1"/>
  <c r="I39" i="3"/>
  <c r="J39" i="3" s="1"/>
  <c r="J44" i="3" s="1"/>
  <c r="J35" i="3"/>
  <c r="I35" i="3"/>
  <c r="I34" i="3"/>
  <c r="J34" i="3" s="1"/>
  <c r="I33" i="3"/>
  <c r="J33" i="3" s="1"/>
  <c r="I32" i="3"/>
  <c r="J32" i="3" s="1"/>
  <c r="J36" i="3" s="1"/>
  <c r="J28" i="3"/>
  <c r="I28" i="3"/>
  <c r="I27" i="3"/>
  <c r="J27" i="3" s="1"/>
  <c r="I26" i="3"/>
  <c r="J26" i="3" s="1"/>
  <c r="I25" i="3"/>
  <c r="J25" i="3" s="1"/>
  <c r="J24" i="3"/>
  <c r="I24" i="3"/>
  <c r="I23" i="3"/>
  <c r="J23" i="3" s="1"/>
  <c r="I22" i="3"/>
  <c r="J22" i="3" s="1"/>
  <c r="I21" i="3"/>
  <c r="J21" i="3" s="1"/>
  <c r="J29" i="3" s="1"/>
  <c r="I17" i="3"/>
  <c r="J17" i="3" s="1"/>
  <c r="I16" i="3"/>
  <c r="J16" i="3" s="1"/>
  <c r="J15" i="3"/>
  <c r="I15" i="3"/>
  <c r="I14" i="3"/>
  <c r="J14" i="3" s="1"/>
  <c r="I13" i="3"/>
  <c r="J13" i="3" s="1"/>
  <c r="I12" i="3"/>
  <c r="J12" i="3" s="1"/>
  <c r="I11" i="3"/>
  <c r="J11" i="3" s="1"/>
  <c r="J10" i="3"/>
  <c r="I10" i="3"/>
  <c r="J9" i="3"/>
  <c r="J8" i="3"/>
  <c r="L175" i="2"/>
  <c r="G158" i="2"/>
  <c r="L158" i="2" s="1"/>
  <c r="G157" i="2"/>
  <c r="L157" i="2" s="1"/>
  <c r="G156" i="2"/>
  <c r="L156" i="2" s="1"/>
  <c r="G155" i="2"/>
  <c r="L155" i="2" s="1"/>
  <c r="G154" i="2"/>
  <c r="L154" i="2" s="1"/>
  <c r="G153" i="2"/>
  <c r="L153" i="2" s="1"/>
  <c r="G152" i="2"/>
  <c r="L152" i="2" s="1"/>
  <c r="G151" i="2"/>
  <c r="L151" i="2" s="1"/>
  <c r="G150" i="2"/>
  <c r="L150" i="2" s="1"/>
  <c r="G149" i="2"/>
  <c r="L149" i="2" s="1"/>
  <c r="L159" i="2" s="1"/>
  <c r="G145" i="2"/>
  <c r="G146" i="2" s="1"/>
  <c r="G144" i="2"/>
  <c r="L144" i="2" s="1"/>
  <c r="G143" i="2"/>
  <c r="L143" i="2" s="1"/>
  <c r="G142" i="2"/>
  <c r="L142" i="2" s="1"/>
  <c r="G141" i="2"/>
  <c r="L141" i="2" s="1"/>
  <c r="G137" i="2"/>
  <c r="L137" i="2" s="1"/>
  <c r="G136" i="2"/>
  <c r="L136" i="2" s="1"/>
  <c r="G135" i="2"/>
  <c r="L135" i="2" s="1"/>
  <c r="G134" i="2"/>
  <c r="L134" i="2" s="1"/>
  <c r="G133" i="2"/>
  <c r="L133" i="2" s="1"/>
  <c r="G132" i="2"/>
  <c r="L132" i="2" s="1"/>
  <c r="G131" i="2"/>
  <c r="L131" i="2" s="1"/>
  <c r="G127" i="2"/>
  <c r="L127" i="2" s="1"/>
  <c r="G126" i="2"/>
  <c r="L126" i="2" s="1"/>
  <c r="G125" i="2"/>
  <c r="L125" i="2" s="1"/>
  <c r="G124" i="2"/>
  <c r="L124" i="2" s="1"/>
  <c r="G123" i="2"/>
  <c r="L123" i="2" s="1"/>
  <c r="G122" i="2"/>
  <c r="L122" i="2" s="1"/>
  <c r="G121" i="2"/>
  <c r="L121" i="2" s="1"/>
  <c r="G120" i="2"/>
  <c r="G128" i="2" s="1"/>
  <c r="G119" i="2"/>
  <c r="L119" i="2" s="1"/>
  <c r="G115" i="2"/>
  <c r="L115" i="2" s="1"/>
  <c r="G114" i="2"/>
  <c r="L114" i="2" s="1"/>
  <c r="G113" i="2"/>
  <c r="L113" i="2" s="1"/>
  <c r="G112" i="2"/>
  <c r="L112" i="2" s="1"/>
  <c r="G111" i="2"/>
  <c r="L111" i="2" s="1"/>
  <c r="G110" i="2"/>
  <c r="G116" i="2" s="1"/>
  <c r="G109" i="2"/>
  <c r="L109" i="2" s="1"/>
  <c r="G105" i="2"/>
  <c r="L105" i="2" s="1"/>
  <c r="G104" i="2"/>
  <c r="L104" i="2" s="1"/>
  <c r="G103" i="2"/>
  <c r="L103" i="2" s="1"/>
  <c r="G102" i="2"/>
  <c r="L102" i="2" s="1"/>
  <c r="G101" i="2"/>
  <c r="L101" i="2" s="1"/>
  <c r="G100" i="2"/>
  <c r="L100" i="2" s="1"/>
  <c r="G99" i="2"/>
  <c r="L99" i="2" s="1"/>
  <c r="G98" i="2"/>
  <c r="L98" i="2" s="1"/>
  <c r="G97" i="2"/>
  <c r="L97" i="2" s="1"/>
  <c r="G96" i="2"/>
  <c r="L96" i="2" s="1"/>
  <c r="G95" i="2"/>
  <c r="L95" i="2" s="1"/>
  <c r="G94" i="2"/>
  <c r="L94" i="2" s="1"/>
  <c r="G93" i="2"/>
  <c r="L93" i="2" s="1"/>
  <c r="G92" i="2"/>
  <c r="L92" i="2" s="1"/>
  <c r="G91" i="2"/>
  <c r="L91" i="2" s="1"/>
  <c r="G87" i="2"/>
  <c r="L87" i="2" s="1"/>
  <c r="G86" i="2"/>
  <c r="L86" i="2" s="1"/>
  <c r="G85" i="2"/>
  <c r="L85" i="2" s="1"/>
  <c r="G84" i="2"/>
  <c r="L84" i="2" s="1"/>
  <c r="G83" i="2"/>
  <c r="L83" i="2" s="1"/>
  <c r="G82" i="2"/>
  <c r="L82" i="2" s="1"/>
  <c r="G81" i="2"/>
  <c r="L81" i="2" s="1"/>
  <c r="G80" i="2"/>
  <c r="L80" i="2" s="1"/>
  <c r="G79" i="2"/>
  <c r="L79" i="2" s="1"/>
  <c r="G78" i="2"/>
  <c r="L78" i="2" s="1"/>
  <c r="G77" i="2"/>
  <c r="L77" i="2" s="1"/>
  <c r="G76" i="2"/>
  <c r="L76" i="2" s="1"/>
  <c r="G75" i="2"/>
  <c r="L75" i="2" s="1"/>
  <c r="G71" i="2"/>
  <c r="L71" i="2" s="1"/>
  <c r="G70" i="2"/>
  <c r="L70" i="2" s="1"/>
  <c r="G69" i="2"/>
  <c r="L69" i="2" s="1"/>
  <c r="G68" i="2"/>
  <c r="L68" i="2" s="1"/>
  <c r="G67" i="2"/>
  <c r="L67" i="2" s="1"/>
  <c r="G66" i="2"/>
  <c r="L66" i="2" s="1"/>
  <c r="G65" i="2"/>
  <c r="L65" i="2" s="1"/>
  <c r="G64" i="2"/>
  <c r="L64" i="2" s="1"/>
  <c r="L72" i="2" s="1"/>
  <c r="G63" i="2"/>
  <c r="L63" i="2" s="1"/>
  <c r="G62" i="2"/>
  <c r="L62" i="2" s="1"/>
  <c r="G58" i="2"/>
  <c r="L58" i="2" s="1"/>
  <c r="G57" i="2"/>
  <c r="L57" i="2" s="1"/>
  <c r="G56" i="2"/>
  <c r="L56" i="2" s="1"/>
  <c r="G55" i="2"/>
  <c r="L55" i="2" s="1"/>
  <c r="G54" i="2"/>
  <c r="L54" i="2" s="1"/>
  <c r="G53" i="2"/>
  <c r="L53" i="2" s="1"/>
  <c r="G52" i="2"/>
  <c r="L52" i="2" s="1"/>
  <c r="G51" i="2"/>
  <c r="G59" i="2" s="1"/>
  <c r="G50" i="2"/>
  <c r="L50" i="2" s="1"/>
  <c r="G49" i="2"/>
  <c r="L49" i="2" s="1"/>
  <c r="G45" i="2"/>
  <c r="L45" i="2" s="1"/>
  <c r="G44" i="2"/>
  <c r="L44" i="2" s="1"/>
  <c r="G43" i="2"/>
  <c r="L43" i="2" s="1"/>
  <c r="G42" i="2"/>
  <c r="L42" i="2" s="1"/>
  <c r="G41" i="2"/>
  <c r="L41" i="2" s="1"/>
  <c r="G40" i="2"/>
  <c r="L40" i="2" s="1"/>
  <c r="G39" i="2"/>
  <c r="L39" i="2" s="1"/>
  <c r="G38" i="2"/>
  <c r="L38" i="2" s="1"/>
  <c r="G37" i="2"/>
  <c r="L37" i="2" s="1"/>
  <c r="G36" i="2"/>
  <c r="L36" i="2" s="1"/>
  <c r="G35" i="2"/>
  <c r="L35" i="2" s="1"/>
  <c r="G34" i="2"/>
  <c r="L34" i="2" s="1"/>
  <c r="L33" i="2"/>
  <c r="G33" i="2"/>
  <c r="G32" i="2"/>
  <c r="L32" i="2" s="1"/>
  <c r="G31" i="2"/>
  <c r="L31" i="2" s="1"/>
  <c r="G30" i="2"/>
  <c r="L30" i="2" s="1"/>
  <c r="G29" i="2"/>
  <c r="G46" i="2" s="1"/>
  <c r="G28" i="2"/>
  <c r="L28" i="2" s="1"/>
  <c r="G24" i="2"/>
  <c r="L24" i="2" s="1"/>
  <c r="G23" i="2"/>
  <c r="L23" i="2" s="1"/>
  <c r="G22" i="2"/>
  <c r="L22" i="2" s="1"/>
  <c r="G21" i="2"/>
  <c r="L21" i="2" s="1"/>
  <c r="G20" i="2"/>
  <c r="L20" i="2" s="1"/>
  <c r="G19" i="2"/>
  <c r="L19" i="2" s="1"/>
  <c r="G18" i="2"/>
  <c r="L18" i="2" s="1"/>
  <c r="G17" i="2"/>
  <c r="L17" i="2" s="1"/>
  <c r="G16" i="2"/>
  <c r="G12" i="2"/>
  <c r="L12" i="2" s="1"/>
  <c r="G11" i="2"/>
  <c r="L11" i="2" s="1"/>
  <c r="L10" i="2"/>
  <c r="G10" i="2"/>
  <c r="G9" i="2"/>
  <c r="L9" i="2" s="1"/>
  <c r="G8" i="2"/>
  <c r="G13" i="2" s="1"/>
  <c r="F18" i="1"/>
  <c r="D18" i="1"/>
  <c r="L88" i="2" l="1"/>
  <c r="L146" i="2"/>
  <c r="L138" i="2"/>
  <c r="J18" i="3"/>
  <c r="J85" i="3"/>
  <c r="J4" i="3" s="1"/>
  <c r="E5" i="7" s="1"/>
  <c r="G13" i="7"/>
  <c r="L29" i="2"/>
  <c r="L46" i="2" s="1"/>
  <c r="G88" i="2"/>
  <c r="G106" i="2"/>
  <c r="J58" i="3"/>
  <c r="L8" i="2"/>
  <c r="L13" i="2" s="1"/>
  <c r="G72" i="2"/>
  <c r="L51" i="2"/>
  <c r="L59" i="2" s="1"/>
  <c r="L120" i="2"/>
  <c r="L128" i="2" s="1"/>
  <c r="L145" i="2"/>
  <c r="G159" i="2"/>
  <c r="L106" i="2"/>
  <c r="J51" i="3"/>
  <c r="F16" i="7"/>
  <c r="L4" i="2"/>
  <c r="G10" i="7"/>
  <c r="L110" i="2"/>
  <c r="G25" i="2"/>
  <c r="G138" i="2"/>
  <c r="L116" i="2"/>
  <c r="L16" i="2"/>
  <c r="L25" i="2" s="1"/>
  <c r="G12" i="7"/>
  <c r="C5" i="7" l="1"/>
  <c r="F5" i="7"/>
  <c r="H20" i="1"/>
  <c r="B18" i="1"/>
  <c r="H18" i="1"/>
</calcChain>
</file>

<file path=xl/sharedStrings.xml><?xml version="1.0" encoding="utf-8"?>
<sst xmlns="http://schemas.openxmlformats.org/spreadsheetml/2006/main" count="1521" uniqueCount="930">
  <si>
    <t>PROCUREMENT PORTFOLIO — 3 BEDROOM FLAT (GERMAN FLOOR FOUNDATION)</t>
  </si>
  <si>
    <t>PROJECT SCOPE &amp; SPECIFICATIONS</t>
  </si>
  <si>
    <t>Project Title:</t>
  </si>
  <si>
    <t>Construction of 3-Bedroom Flat with German Floor Foundation</t>
  </si>
  <si>
    <t>Building Type:</t>
  </si>
  <si>
    <t>Residential Duplex — Ground Floor + 1st Floor (3 Bedrooms, 2 Sitting Rooms, Kitchen, 3 Bathrooms)</t>
  </si>
  <si>
    <t>Foundation Type:</t>
  </si>
  <si>
    <t>German Floor (Raft/Mat Foundation) — Suitable for Lagos soft/sandy soil conditions</t>
  </si>
  <si>
    <t>Plot Size:</t>
  </si>
  <si>
    <t>600 sqm  |  Building Footprint: ~180 sqm  |  Total Floor Area: ~360 sqm (2 floors)</t>
  </si>
  <si>
    <t>Construction Duration:</t>
  </si>
  <si>
    <t>Estimated 18 months  (Phase 1: Foundation + DPC = 3 months; Superstructure = 9 months; Finishing = 6 months)</t>
  </si>
  <si>
    <t>Procurement Officer:</t>
  </si>
  <si>
    <t>Project Sponsor:</t>
  </si>
  <si>
    <t>Private Developer  |  Budget Approval: Confirmed</t>
  </si>
  <si>
    <t>Delivery Strategy:</t>
  </si>
  <si>
    <t>Direct procurement + competitive tendering for major items; frame agreements with key suppliers</t>
  </si>
  <si>
    <t>PROJECT BUDGET SUMMARY</t>
  </si>
  <si>
    <t>MATERIALS
BUDGET</t>
  </si>
  <si>
    <t>LABOUR
COST</t>
  </si>
  <si>
    <t>PROFESSIONAL
FEES</t>
  </si>
  <si>
    <t>CONTINGENCY
(10%)</t>
  </si>
  <si>
    <t>₦</t>
  </si>
  <si>
    <t>GRAND TOTAL PROJECT COST (incl. Contingency)</t>
  </si>
  <si>
    <t>PROCUREMENT &amp; CONSTRUCTION PHASE PLAN</t>
  </si>
  <si>
    <t>Phase</t>
  </si>
  <si>
    <t>Description</t>
  </si>
  <si>
    <t>Duration</t>
  </si>
  <si>
    <t>Key Materials/Activities</t>
  </si>
  <si>
    <t>Procurement Method</t>
  </si>
  <si>
    <t>Status</t>
  </si>
  <si>
    <t>Phase 1</t>
  </si>
  <si>
    <t>Site Preparation &amp; Foundation (German Floor)</t>
  </si>
  <si>
    <t>Month 1-3</t>
  </si>
  <si>
    <t>Excavation, Blinding concrete, BRC mesh, Foundation concrete, DPC, Backfill</t>
  </si>
  <si>
    <t>Open Competitive Tendering</t>
  </si>
  <si>
    <t>IN PROGRESS</t>
  </si>
  <si>
    <t>Phase 2</t>
  </si>
  <si>
    <t>Ground Floor Superstructure</t>
  </si>
  <si>
    <t>Month 4-8</t>
  </si>
  <si>
    <t>Block work, Columns, Beams, Lintel, Ring beam, Ground floor slab</t>
  </si>
  <si>
    <t>Framework Agreement</t>
  </si>
  <si>
    <t>UPCOMING</t>
  </si>
  <si>
    <t>Phase 3</t>
  </si>
  <si>
    <t>First Floor Superstructure</t>
  </si>
  <si>
    <t>Month 5-10</t>
  </si>
  <si>
    <t>Block work, Columns, Beams, Roof beam, Roof truss &amp; covering</t>
  </si>
  <si>
    <t>Phase 4</t>
  </si>
  <si>
    <t>Roofing &amp; External Works</t>
  </si>
  <si>
    <t>Month 9-12</t>
  </si>
  <si>
    <t>Roof truss, Aluminum roofing, Fascia, Rain gutters, External rendering</t>
  </si>
  <si>
    <t>Direct Procurement</t>
  </si>
  <si>
    <t>Phase 5</t>
  </si>
  <si>
    <t>Mechanical, Electrical &amp; Plumbing</t>
  </si>
  <si>
    <t>Month 11-15</t>
  </si>
  <si>
    <t>Plumbing, Electrical wiring, AC points, Solar system, Water tank</t>
  </si>
  <si>
    <t>Specialist Contractors</t>
  </si>
  <si>
    <t>Phase 6</t>
  </si>
  <si>
    <t>Internal &amp; External Finishing</t>
  </si>
  <si>
    <t>Month 13-18</t>
  </si>
  <si>
    <t>Floor tiles, Wall tiles, Painting, Doors, Windows, Fittings, Landscaping</t>
  </si>
  <si>
    <t>Direct + Competitive</t>
  </si>
  <si>
    <t>BILL OF QUANTITIES — MATERIALS PROCUREMENT</t>
  </si>
  <si>
    <t>3-Bedroom Flat | German Floor Foundation | Lagos, Nigeria | All costs in Nigerian Naira (₦)</t>
  </si>
  <si>
    <t>TOTAL MATERIALS COST</t>
  </si>
  <si>
    <t>#</t>
  </si>
  <si>
    <t>Unit</t>
  </si>
  <si>
    <t>Qty</t>
  </si>
  <si>
    <t>Unit Rate (₦)</t>
  </si>
  <si>
    <t>Amount (₦)</t>
  </si>
  <si>
    <t>Vendor 1 Quote (₦)</t>
  </si>
  <si>
    <t>Vendor 2 Quote (₦)</t>
  </si>
  <si>
    <t>Vendor 3 Quote (₦)</t>
  </si>
  <si>
    <t>Selected Vendor</t>
  </si>
  <si>
    <t>Savings (₦)</t>
  </si>
  <si>
    <t>A. SITE PREPARATION &amp; EXCAVATION</t>
  </si>
  <si>
    <t>A1</t>
  </si>
  <si>
    <t>Site clearing and levelling (600 sqm)</t>
  </si>
  <si>
    <t>sqm</t>
  </si>
  <si>
    <t>Suntech Nig. Ltd</t>
  </si>
  <si>
    <t>A2</t>
  </si>
  <si>
    <t>Excavation for German floor foundation (180 sqm × 0.6m deep)</t>
  </si>
  <si>
    <t>m³</t>
  </si>
  <si>
    <t>Kola Excavators</t>
  </si>
  <si>
    <t>A3</t>
  </si>
  <si>
    <t>Anti-termite soil treatment</t>
  </si>
  <si>
    <t>Termiguard Nig.</t>
  </si>
  <si>
    <t>A4</t>
  </si>
  <si>
    <t>Hardcore filling and compaction (150mm)</t>
  </si>
  <si>
    <t>A5</t>
  </si>
  <si>
    <t>Blinding concrete (50mm, 1:3:6 mix, 180 sqm)</t>
  </si>
  <si>
    <t>Readymix Concrete Ng</t>
  </si>
  <si>
    <t>SUBTOTAL A</t>
  </si>
  <si>
    <t>B. GERMAN FLOOR FOUNDATION CONCRETE WORKS</t>
  </si>
  <si>
    <t>B1</t>
  </si>
  <si>
    <t>BRC mesh (A393) — German floor reinforcement (180 sqm)</t>
  </si>
  <si>
    <t>sheets</t>
  </si>
  <si>
    <t>Steel Baron Nig.</t>
  </si>
  <si>
    <t>B2</t>
  </si>
  <si>
    <t>Mild steel rod Y16 (foundation column starters)</t>
  </si>
  <si>
    <t>tonnes</t>
  </si>
  <si>
    <t>Dangote Steel</t>
  </si>
  <si>
    <t>B3</t>
  </si>
  <si>
    <t>Mild steel rod Y12 (ring beam &amp; tie bars)</t>
  </si>
  <si>
    <t>B4</t>
  </si>
  <si>
    <t>Ready mix concrete 25N/mm² — Raft slab (180 sqm × 250mm)</t>
  </si>
  <si>
    <t>Lafarge ReadyMix</t>
  </si>
  <si>
    <t>B5</t>
  </si>
  <si>
    <t>Binding wire (1kg rolls)</t>
  </si>
  <si>
    <t>rolls</t>
  </si>
  <si>
    <t>Local market</t>
  </si>
  <si>
    <t>B6</t>
  </si>
  <si>
    <t>Form work for ground beam edges (50mm boards)</t>
  </si>
  <si>
    <t>Timber King Abk</t>
  </si>
  <si>
    <t>B7</t>
  </si>
  <si>
    <t>Damp proof membrane (DPM) 1200 gauge polythene</t>
  </si>
  <si>
    <t>BuildPro Supplies</t>
  </si>
  <si>
    <t>B8</t>
  </si>
  <si>
    <t>Sand filling to floor level (after DPC)</t>
  </si>
  <si>
    <t>B9</t>
  </si>
  <si>
    <t>Damp proof course (DPC) bricks — ground level</t>
  </si>
  <si>
    <t>Premier Blocks Ltd</t>
  </si>
  <si>
    <t>SUBTOTAL B</t>
  </si>
  <si>
    <t>C. BLOCK WORK &amp; SUPERSTRUCTURE</t>
  </si>
  <si>
    <t>C1</t>
  </si>
  <si>
    <t>9-inch hollow blocks (6-inch equivalent for foundation)</t>
  </si>
  <si>
    <t>blocks</t>
  </si>
  <si>
    <t>C2</t>
  </si>
  <si>
    <t>6-inch solid blocks (superstructure ground floor)</t>
  </si>
  <si>
    <t>C3</t>
  </si>
  <si>
    <t>6-inch hollow blocks (superstructure 1st floor)</t>
  </si>
  <si>
    <t>C4</t>
  </si>
  <si>
    <t>Portland cement — Dangote 42.5 (bags)</t>
  </si>
  <si>
    <t>bags</t>
  </si>
  <si>
    <t>Dangote Cement Dist.</t>
  </si>
  <si>
    <t>C5</t>
  </si>
  <si>
    <t>Sharp sand (tipper loads — 5 tonnes each)</t>
  </si>
  <si>
    <t>loads</t>
  </si>
  <si>
    <t>Lagos Sand Dealers</t>
  </si>
  <si>
    <t>C6</t>
  </si>
  <si>
    <t>Granite 3/4 (coarse aggregate — tipper loads)</t>
  </si>
  <si>
    <t>Apapa Quarry Ltd</t>
  </si>
  <si>
    <t>C7</t>
  </si>
  <si>
    <t>Steel rod Y16 (columns and beams)</t>
  </si>
  <si>
    <t>C8</t>
  </si>
  <si>
    <t>Steel rod Y12 (secondary reinforcement)</t>
  </si>
  <si>
    <t>C9</t>
  </si>
  <si>
    <t>Steel rod Y10 (stirrups and links)</t>
  </si>
  <si>
    <t>C10</t>
  </si>
  <si>
    <t>Steel rod Y8 (distribution bars, lintels)</t>
  </si>
  <si>
    <t>C11</t>
  </si>
  <si>
    <t>Binding wire (coils)</t>
  </si>
  <si>
    <t>coils</t>
  </si>
  <si>
    <t>C12</t>
  </si>
  <si>
    <t>Form work timber (2×3 and 2×6 boards)</t>
  </si>
  <si>
    <t>pieces</t>
  </si>
  <si>
    <t>C13</t>
  </si>
  <si>
    <t>Plywood shuttering (18mm marine boards)</t>
  </si>
  <si>
    <t>C14</t>
  </si>
  <si>
    <t>Ground floor concrete slab (125mm, 180 sqm)</t>
  </si>
  <si>
    <t>C15</t>
  </si>
  <si>
    <t>First floor concrete slab (125mm, 180 sqm)</t>
  </si>
  <si>
    <t>C16</t>
  </si>
  <si>
    <t>Lintel blocks / pre-cast lintels (900mm)</t>
  </si>
  <si>
    <t>C17</t>
  </si>
  <si>
    <t>Ring beam concrete (columns top, perimeter)</t>
  </si>
  <si>
    <t>C18</t>
  </si>
  <si>
    <t>Window/door props (acrow / adjustable props)</t>
  </si>
  <si>
    <t>SUBTOTAL C</t>
  </si>
  <si>
    <t>D. ROOFING WORKS</t>
  </si>
  <si>
    <t>D1</t>
  </si>
  <si>
    <t>Roofing timber (2×6 rafters)</t>
  </si>
  <si>
    <t>D2</t>
  </si>
  <si>
    <t>Roofing timber (2×3 purlins)</t>
  </si>
  <si>
    <t>D3</t>
  </si>
  <si>
    <t>Aluminum long span roofing sheets (0.55mm)</t>
  </si>
  <si>
    <t>Alum Roofing Ng</t>
  </si>
  <si>
    <t>D4</t>
  </si>
  <si>
    <t>Ridge cap aluminum</t>
  </si>
  <si>
    <t>length</t>
  </si>
  <si>
    <t>D5</t>
  </si>
  <si>
    <t>Fascia board aluminum</t>
  </si>
  <si>
    <t>D6</t>
  </si>
  <si>
    <t>Rain gutters (PVC 100mm half-round)</t>
  </si>
  <si>
    <t>RoofPro Nig.</t>
  </si>
  <si>
    <t>D7</t>
  </si>
  <si>
    <t>Downpipes PVC 75mm</t>
  </si>
  <si>
    <t>D8</t>
  </si>
  <si>
    <t>Roofing nails / screws (assorted)</t>
  </si>
  <si>
    <t>kg</t>
  </si>
  <si>
    <t>D9</t>
  </si>
  <si>
    <t>Roof insulation board (50mm)</t>
  </si>
  <si>
    <t>D10</t>
  </si>
  <si>
    <t>Roof overhang soffit board (cement board)</t>
  </si>
  <si>
    <t>SUBTOTAL D</t>
  </si>
  <si>
    <t>E. WINDOWS, DOORS &amp; IRONMONGERY</t>
  </si>
  <si>
    <t>E1</t>
  </si>
  <si>
    <t>Aluminium sliding windows 1200×1200mm</t>
  </si>
  <si>
    <t>units</t>
  </si>
  <si>
    <t>Alumaco Nig. Ltd</t>
  </si>
  <si>
    <t>E2</t>
  </si>
  <si>
    <t>Aluminium casement windows 600×900mm</t>
  </si>
  <si>
    <t>E3</t>
  </si>
  <si>
    <t>External security door (steel) — main entrance</t>
  </si>
  <si>
    <t>Ironmax Nig.</t>
  </si>
  <si>
    <t>E4</t>
  </si>
  <si>
    <t>External security door (steel) — back entrance</t>
  </si>
  <si>
    <t>E5</t>
  </si>
  <si>
    <t>Internal flush doors (solid core, 900×2100mm)</t>
  </si>
  <si>
    <t>Woodcraft Nig.</t>
  </si>
  <si>
    <t>E6</t>
  </si>
  <si>
    <t>Internal flush doors (bathroom, 700×2100mm)</t>
  </si>
  <si>
    <t>E7</t>
  </si>
  <si>
    <t>Door frames (hardwood)</t>
  </si>
  <si>
    <t>E8</t>
  </si>
  <si>
    <t>Door handles, hinges, bolts (complete sets)</t>
  </si>
  <si>
    <t>sets</t>
  </si>
  <si>
    <t>E9</t>
  </si>
  <si>
    <t>Window burglar proof (black iron 16mm rods)</t>
  </si>
  <si>
    <t>E10</t>
  </si>
  <si>
    <t>Window nets / insect screens (aluminium frame)</t>
  </si>
  <si>
    <t>SUBTOTAL E</t>
  </si>
  <si>
    <t>F. PLUMBING &amp; WATER SUPPLY</t>
  </si>
  <si>
    <t>F1</t>
  </si>
  <si>
    <t>uPVC pipes 110mm (drainage/sewer)</t>
  </si>
  <si>
    <t>Vanguard Pipes</t>
  </si>
  <si>
    <t>F2</t>
  </si>
  <si>
    <t>uPVC pipes 75mm (drainage)</t>
  </si>
  <si>
    <t>F3</t>
  </si>
  <si>
    <t>PPR hot/cold water pipes 25mm</t>
  </si>
  <si>
    <t>F4</t>
  </si>
  <si>
    <t>PPR pipes 20mm (branch connections)</t>
  </si>
  <si>
    <t>F5</t>
  </si>
  <si>
    <t>Overhead water tank 5000L (polyethylene)</t>
  </si>
  <si>
    <t>Roto Tanks Nig.</t>
  </si>
  <si>
    <t>F6</t>
  </si>
  <si>
    <t>Underground storage tank 10000L</t>
  </si>
  <si>
    <t>F7</t>
  </si>
  <si>
    <t>Water pump (0.5HP submersible + surface)</t>
  </si>
  <si>
    <t>Mikano Pumps</t>
  </si>
  <si>
    <t>F8</t>
  </si>
  <si>
    <t>Water closet (WC) complete set — standard</t>
  </si>
  <si>
    <t>Sanitech Nig.</t>
  </si>
  <si>
    <t>F9</t>
  </si>
  <si>
    <t>Pedestal wash hand basin complete</t>
  </si>
  <si>
    <t>F10</t>
  </si>
  <si>
    <t>Kitchen sink (stainless steel, double bowl)</t>
  </si>
  <si>
    <t>F11</t>
  </si>
  <si>
    <t>Shower set — rainfall type (chrome)</t>
  </si>
  <si>
    <t>F12</t>
  </si>
  <si>
    <t>Gate valve and stop cock (various sizes)</t>
  </si>
  <si>
    <t>F13</t>
  </si>
  <si>
    <t>Septic tank construction (manhole + soakaway rings)</t>
  </si>
  <si>
    <t>sum</t>
  </si>
  <si>
    <t>Civil Works Nig.</t>
  </si>
  <si>
    <t>SUBTOTAL F</t>
  </si>
  <si>
    <t>G. ELECTRICAL INSTALLATION</t>
  </si>
  <si>
    <t>G1</t>
  </si>
  <si>
    <t>2.5mm twin &amp; earth cables (100m drums)</t>
  </si>
  <si>
    <t>drums</t>
  </si>
  <si>
    <t>Nigerchin Cables</t>
  </si>
  <si>
    <t>G2</t>
  </si>
  <si>
    <t>4mm twin &amp; earth cables (100m drums)</t>
  </si>
  <si>
    <t>G3</t>
  </si>
  <si>
    <t>6mm single core cables (100m drums)</t>
  </si>
  <si>
    <t>G4</t>
  </si>
  <si>
    <t>Conduit pipes 20mm (electrical)</t>
  </si>
  <si>
    <t>G5</t>
  </si>
  <si>
    <t>Consumer unit / distribution board (12-way)</t>
  </si>
  <si>
    <t>Clipsal Nigeria</t>
  </si>
  <si>
    <t>G6</t>
  </si>
  <si>
    <t>MCB single pole 16A (circuit breakers)</t>
  </si>
  <si>
    <t>Schneider Elec.</t>
  </si>
  <si>
    <t>G7</t>
  </si>
  <si>
    <t>Single socket outlets (surface/flush)</t>
  </si>
  <si>
    <t>G8</t>
  </si>
  <si>
    <t>Double socket outlets</t>
  </si>
  <si>
    <t>G9</t>
  </si>
  <si>
    <t>Switch plates (1-gang, 2-gang)</t>
  </si>
  <si>
    <t>G10</t>
  </si>
  <si>
    <t>Light fittings — LED downlights 12W</t>
  </si>
  <si>
    <t>Philips Nigeria</t>
  </si>
  <si>
    <t>G11</t>
  </si>
  <si>
    <t>Exterior wall lights (weatherproof)</t>
  </si>
  <si>
    <t>G12</t>
  </si>
  <si>
    <t>Inverter + 200Ah batteries (2-unit solar system)</t>
  </si>
  <si>
    <t>Victron Energy Ng</t>
  </si>
  <si>
    <t>G13</t>
  </si>
  <si>
    <t>Solar panels 400W monocrystalline</t>
  </si>
  <si>
    <t>Jinko Solar Nig.</t>
  </si>
  <si>
    <t>G14</t>
  </si>
  <si>
    <t>Earthing system (copper rods + busbar)</t>
  </si>
  <si>
    <t>G15</t>
  </si>
  <si>
    <t>Prepaid meter + armoured cable (EKEDC connection)</t>
  </si>
  <si>
    <t>EKEDC Approved</t>
  </si>
  <si>
    <t>SUBTOTAL G</t>
  </si>
  <si>
    <t>H. WALL PLASTERING &amp; SCREEDING</t>
  </si>
  <si>
    <t>H1</t>
  </si>
  <si>
    <t>Internal plastering (walls — 15mm coat)</t>
  </si>
  <si>
    <t>Buildmat Nig.</t>
  </si>
  <si>
    <t>H2</t>
  </si>
  <si>
    <t>External rendering (20mm, textured finish)</t>
  </si>
  <si>
    <t>H3</t>
  </si>
  <si>
    <t>Floor screeding (ground floor 50mm)</t>
  </si>
  <si>
    <t>H4</t>
  </si>
  <si>
    <t>Floor screeding (first floor 50mm)</t>
  </si>
  <si>
    <t>H5</t>
  </si>
  <si>
    <t>Ceiling board (9mm POP / gyp board)</t>
  </si>
  <si>
    <t>CeilPro Nig.</t>
  </si>
  <si>
    <t>H6</t>
  </si>
  <si>
    <t>Ceiling cornice &amp; moulding</t>
  </si>
  <si>
    <t>H7</t>
  </si>
  <si>
    <t>Cement &amp; sand (plastering work)</t>
  </si>
  <si>
    <t>Dangote Cement</t>
  </si>
  <si>
    <t>SUBTOTAL H</t>
  </si>
  <si>
    <t>I. FLOOR &amp; WALL TILING</t>
  </si>
  <si>
    <t>I1</t>
  </si>
  <si>
    <t>Porcelain floor tiles 600×600mm (living areas)</t>
  </si>
  <si>
    <t>Eleganza Tiles</t>
  </si>
  <si>
    <t>I2</t>
  </si>
  <si>
    <t>Ceramic floor tiles 300×300mm (bedrooms)</t>
  </si>
  <si>
    <t>I3</t>
  </si>
  <si>
    <t>Bathroom wall tiles 300×600mm (glazed)</t>
  </si>
  <si>
    <t>I4</t>
  </si>
  <si>
    <t>Kitchen wall tiles 300×600mm (glazed)</t>
  </si>
  <si>
    <t>I5</t>
  </si>
  <si>
    <t>Outdoor terrace tiles (anti-slip 600×600mm)</t>
  </si>
  <si>
    <t>I6</t>
  </si>
  <si>
    <t>Tile adhesive (25kg bags)</t>
  </si>
  <si>
    <t>Weber Nigeria</t>
  </si>
  <si>
    <t>I7</t>
  </si>
  <si>
    <t>Tile grout (assorted colours, 5kg packs)</t>
  </si>
  <si>
    <t>packs</t>
  </si>
  <si>
    <t>I8</t>
  </si>
  <si>
    <t>Tile spacers and trim profiles</t>
  </si>
  <si>
    <t>I9</t>
  </si>
  <si>
    <t>Staircase tiles (300×600mm non-slip nosing)</t>
  </si>
  <si>
    <t>SUBTOTAL I</t>
  </si>
  <si>
    <t>J. PAINTING &amp; DECORATION</t>
  </si>
  <si>
    <t>J1</t>
  </si>
  <si>
    <t>Exterior emulsion paint (anti-fungal, 20L tins)</t>
  </si>
  <si>
    <t>tins</t>
  </si>
  <si>
    <t>Dulux Nigeria</t>
  </si>
  <si>
    <t>J2</t>
  </si>
  <si>
    <t>Interior emulsion paint (various colours, 20L)</t>
  </si>
  <si>
    <t>J3</t>
  </si>
  <si>
    <t>Gloss paint (doors, windows, ironwork, 5L)</t>
  </si>
  <si>
    <t>J4</t>
  </si>
  <si>
    <t>PVA bonding agent (20L)</t>
  </si>
  <si>
    <t>Sika Nigeria</t>
  </si>
  <si>
    <t>J5</t>
  </si>
  <si>
    <t>Wall filler / skim coat (25kg bags)</t>
  </si>
  <si>
    <t>J6</t>
  </si>
  <si>
    <t>Masking tape, brushes, rollers, trays (misc.)</t>
  </si>
  <si>
    <t>J7</t>
  </si>
  <si>
    <t>Sandpaper assorted grits (bulk)</t>
  </si>
  <si>
    <t>SUBTOTAL J</t>
  </si>
  <si>
    <t>K. STAIRCASE &amp; RAILINGS</t>
  </si>
  <si>
    <t>K1</t>
  </si>
  <si>
    <t>Staircase steel structure (mild steel stringer)</t>
  </si>
  <si>
    <t>SteelFab Nig.</t>
  </si>
  <si>
    <t>K2</t>
  </si>
  <si>
    <t>Staircase tiles &amp; finishing (see tiles above)</t>
  </si>
  <si>
    <t>—</t>
  </si>
  <si>
    <t>K3</t>
  </si>
  <si>
    <t>Stainless steel handrail (38mm tube)</t>
  </si>
  <si>
    <t>K4</t>
  </si>
  <si>
    <t>Balustrade posts stainless steel</t>
  </si>
  <si>
    <t>K5</t>
  </si>
  <si>
    <t>Glass balustrade panels (8mm tempered)</t>
  </si>
  <si>
    <t>GlassTech Nig.</t>
  </si>
  <si>
    <t>SUBTOTAL K</t>
  </si>
  <si>
    <t>L. EXTERNAL WORKS &amp; LANDSCAPING</t>
  </si>
  <si>
    <t>L1</t>
  </si>
  <si>
    <t>Perimeter fence (9-inch block, 3m high)</t>
  </si>
  <si>
    <t>L2</t>
  </si>
  <si>
    <t>Gate — sliding steel (4m wide)</t>
  </si>
  <si>
    <t>L3</t>
  </si>
  <si>
    <t>Pedestrian gate (steel, 1.2m)</t>
  </si>
  <si>
    <t>L4</t>
  </si>
  <si>
    <t>Paving blocks (driveway/walkway — 200sqm)</t>
  </si>
  <si>
    <t>Interloc Nig.</t>
  </si>
  <si>
    <t>L5</t>
  </si>
  <si>
    <t>Exterior security lights (solar 100W floodlight)</t>
  </si>
  <si>
    <t>Solaris Nig.</t>
  </si>
  <si>
    <t>L6</t>
  </si>
  <si>
    <t>Borehole drilling (100m depth + casing)</t>
  </si>
  <si>
    <t>Aqua Drill Nig.</t>
  </si>
  <si>
    <t>L7</t>
  </si>
  <si>
    <t>Soakaway pit / soak-away rings (3 no.)</t>
  </si>
  <si>
    <t>L8</t>
  </si>
  <si>
    <t>Site drainage channel (surface water)</t>
  </si>
  <si>
    <t>L9</t>
  </si>
  <si>
    <t>Topsoil and lawn grass (turfing)</t>
  </si>
  <si>
    <t>Green Thumb Nig.</t>
  </si>
  <si>
    <t>L10</t>
  </si>
  <si>
    <t>Concrete kerb edging (driveway)</t>
  </si>
  <si>
    <t>SUBTOTAL L</t>
  </si>
  <si>
    <t>BILL OF QUANTITIES — GRAND SUMMARY</t>
  </si>
  <si>
    <t>A</t>
  </si>
  <si>
    <t>Site Preparation &amp; Excavation</t>
  </si>
  <si>
    <t>B</t>
  </si>
  <si>
    <t>German Floor Foundation</t>
  </si>
  <si>
    <t>C</t>
  </si>
  <si>
    <t>Block Work &amp; Superstructure</t>
  </si>
  <si>
    <t>D</t>
  </si>
  <si>
    <t>Roofing Works</t>
  </si>
  <si>
    <t>E</t>
  </si>
  <si>
    <t>Windows, Doors &amp; Ironmongery</t>
  </si>
  <si>
    <t>F</t>
  </si>
  <si>
    <t>Plumbing &amp; Water Supply</t>
  </si>
  <si>
    <t>G</t>
  </si>
  <si>
    <t>Electrical Installation</t>
  </si>
  <si>
    <t>H</t>
  </si>
  <si>
    <t>Wall Plastering &amp; Screeding</t>
  </si>
  <si>
    <t>I</t>
  </si>
  <si>
    <t>Floor &amp; Wall Tiling</t>
  </si>
  <si>
    <t>J</t>
  </si>
  <si>
    <t>Painting &amp; Decoration</t>
  </si>
  <si>
    <t>K</t>
  </si>
  <si>
    <t>Staircase &amp; Railings</t>
  </si>
  <si>
    <t>L</t>
  </si>
  <si>
    <t>External Works &amp; Landscaping</t>
  </si>
  <si>
    <t>GRAND TOTAL MATERIALS COST</t>
  </si>
  <si>
    <t>LABOUR COST SCHEDULE — 3 BEDROOM FLAT</t>
  </si>
  <si>
    <t>All costs in Nigerian Naira (₦)  |  Based on Lagos State minimum wage rates + market premium</t>
  </si>
  <si>
    <t>TOTAL LABOUR COST</t>
  </si>
  <si>
    <t>Trade / Activity</t>
  </si>
  <si>
    <t>No. of Workers</t>
  </si>
  <si>
    <t>Daily Rate (₦/worker)</t>
  </si>
  <si>
    <t>Total Days</t>
  </si>
  <si>
    <t>Man-Days</t>
  </si>
  <si>
    <t>Total Labour (₦)</t>
  </si>
  <si>
    <t>SECTION A — SITE PREPARATION &amp; FOUNDATION</t>
  </si>
  <si>
    <t>L01</t>
  </si>
  <si>
    <t>Site foreman / Supervisor</t>
  </si>
  <si>
    <t>18 months</t>
  </si>
  <si>
    <t>N/A</t>
  </si>
  <si>
    <t>L02</t>
  </si>
  <si>
    <t>Civil/Structural Engineer (site visits)</t>
  </si>
  <si>
    <t>Phase 1–3</t>
  </si>
  <si>
    <t>L03</t>
  </si>
  <si>
    <t>Site clearance labourers</t>
  </si>
  <si>
    <t>5 days</t>
  </si>
  <si>
    <t>L04</t>
  </si>
  <si>
    <t>Excavation gang (German floor)</t>
  </si>
  <si>
    <t>10 days</t>
  </si>
  <si>
    <t>L05</t>
  </si>
  <si>
    <t>Anti-termite treatment applicator</t>
  </si>
  <si>
    <t>2 days</t>
  </si>
  <si>
    <t>L06</t>
  </si>
  <si>
    <t>Hardcore laying &amp; compaction labourers</t>
  </si>
  <si>
    <t>L07</t>
  </si>
  <si>
    <t>Blinding concrete gang (mixing &amp; pouring)</t>
  </si>
  <si>
    <t>3 days</t>
  </si>
  <si>
    <t>L08</t>
  </si>
  <si>
    <t>BRC mesh placement &amp; binding workers</t>
  </si>
  <si>
    <t>L09</t>
  </si>
  <si>
    <t>Foundation concrete gang (raft pour)</t>
  </si>
  <si>
    <t>DPC bricklaying gang</t>
  </si>
  <si>
    <t>4 days</t>
  </si>
  <si>
    <t>SUBTOTAL A — FOUNDATION LABOUR</t>
  </si>
  <si>
    <t>SECTION B — SUPERSTRUCTURE &amp; BLOCK WORK</t>
  </si>
  <si>
    <t>L11</t>
  </si>
  <si>
    <t>Master bricklayer (ground floor)</t>
  </si>
  <si>
    <t>30 days</t>
  </si>
  <si>
    <t>L12</t>
  </si>
  <si>
    <t>Assistant bricklayers (ground floor)</t>
  </si>
  <si>
    <t>L13</t>
  </si>
  <si>
    <t>Master bricklayer (first floor)</t>
  </si>
  <si>
    <t>L14</t>
  </si>
  <si>
    <t>Assistant bricklayers (first floor)</t>
  </si>
  <si>
    <t>L15</t>
  </si>
  <si>
    <t>Steel bender / fixer (columns &amp; beams)</t>
  </si>
  <si>
    <t>Phase 2–3</t>
  </si>
  <si>
    <t>40 days</t>
  </si>
  <si>
    <t>L16</t>
  </si>
  <si>
    <t>Form work carpenter (shuttering)</t>
  </si>
  <si>
    <t>35 days</t>
  </si>
  <si>
    <t>L17</t>
  </si>
  <si>
    <t>Concrete gang (columns, beams, slabs)</t>
  </si>
  <si>
    <t>20 days</t>
  </si>
  <si>
    <t>L18</t>
  </si>
  <si>
    <t>Ring beam &amp; lintel gang</t>
  </si>
  <si>
    <t>SUBTOTAL B — SUPERSTRUCTURE LABOUR</t>
  </si>
  <si>
    <t>SECTION C — ROOFING</t>
  </si>
  <si>
    <t>L19</t>
  </si>
  <si>
    <t>Master carpenter (roof truss)</t>
  </si>
  <si>
    <t>L20</t>
  </si>
  <si>
    <t>Assistant carpenters (roof truss)</t>
  </si>
  <si>
    <t>L21</t>
  </si>
  <si>
    <t>Aluminum roofing fixers</t>
  </si>
  <si>
    <t>L22</t>
  </si>
  <si>
    <t>Fascia, gutter &amp; downpipe fitters</t>
  </si>
  <si>
    <t>SUBTOTAL C — ROOFING LABOUR</t>
  </si>
  <si>
    <t>SECTION D — PLUMBING</t>
  </si>
  <si>
    <t>L23</t>
  </si>
  <si>
    <t>Licensed plumber (master)</t>
  </si>
  <si>
    <t>45 days</t>
  </si>
  <si>
    <t>L24</t>
  </si>
  <si>
    <t>Plumbing assistant</t>
  </si>
  <si>
    <t>L25</t>
  </si>
  <si>
    <t>Drainage gang (external sewer)</t>
  </si>
  <si>
    <t>L26</t>
  </si>
  <si>
    <t>Water tank installation crew</t>
  </si>
  <si>
    <t>L27</t>
  </si>
  <si>
    <t>Borehole casing &amp; pump installation</t>
  </si>
  <si>
    <t>SUBTOTAL D — PLUMBING LABOUR</t>
  </si>
  <si>
    <t>SECTION E — ELECTRICAL WORKS</t>
  </si>
  <si>
    <t>L28</t>
  </si>
  <si>
    <t>Licensed electrician (master)</t>
  </si>
  <si>
    <t>50 days</t>
  </si>
  <si>
    <t>L29</t>
  </si>
  <si>
    <t>Electrician assistant</t>
  </si>
  <si>
    <t>L30</t>
  </si>
  <si>
    <t>Solar system installer</t>
  </si>
  <si>
    <t>L31</t>
  </si>
  <si>
    <t>EKEDC meter connection supervisor</t>
  </si>
  <si>
    <t>SUBTOTAL E — ELECTRICAL LABOUR</t>
  </si>
  <si>
    <t>SECTION F — PLASTERING &amp; SCREEDING</t>
  </si>
  <si>
    <t>L32</t>
  </si>
  <si>
    <t>Master plasterer</t>
  </si>
  <si>
    <t>L33</t>
  </si>
  <si>
    <t>Plasterer assistants</t>
  </si>
  <si>
    <t>L34</t>
  </si>
  <si>
    <t>Floor screeding gang</t>
  </si>
  <si>
    <t>L35</t>
  </si>
  <si>
    <t>POP ceiling installer</t>
  </si>
  <si>
    <t>15 days</t>
  </si>
  <si>
    <t>SUBTOTAL F — PLASTERING LABOUR</t>
  </si>
  <si>
    <t>SECTION G — TILING</t>
  </si>
  <si>
    <t>L36</t>
  </si>
  <si>
    <t>Master tiler (floor &amp; wall)</t>
  </si>
  <si>
    <t>L37</t>
  </si>
  <si>
    <t>Tiling assistants</t>
  </si>
  <si>
    <t>SUBTOTAL G — TILING LABOUR</t>
  </si>
  <si>
    <t>SECTION H — PAINTING</t>
  </si>
  <si>
    <t>L38</t>
  </si>
  <si>
    <t>Master painter</t>
  </si>
  <si>
    <t>L39</t>
  </si>
  <si>
    <t>Painter assistants</t>
  </si>
  <si>
    <t>SUBTOTAL H — PAINTING LABOUR</t>
  </si>
  <si>
    <t>SECTION I — STEELWORK, DOORS &amp; WINDOWS</t>
  </si>
  <si>
    <t>L40</t>
  </si>
  <si>
    <t>Steel fabricator (staircase, railing)</t>
  </si>
  <si>
    <t>L41</t>
  </si>
  <si>
    <t>Door &amp; window fixing gang</t>
  </si>
  <si>
    <t>L42</t>
  </si>
  <si>
    <t>Glass installation crew</t>
  </si>
  <si>
    <t>SUBTOTAL I — STEELWORK LABOUR</t>
  </si>
  <si>
    <t>SECTION J — EXTERNAL WORKS</t>
  </si>
  <si>
    <t>L43</t>
  </si>
  <si>
    <t>Fence bricklayer &amp; assistants</t>
  </si>
  <si>
    <t>L44</t>
  </si>
  <si>
    <t>Gate fabricator &amp; installer</t>
  </si>
  <si>
    <t>L45</t>
  </si>
  <si>
    <t>Paving block layer</t>
  </si>
  <si>
    <t>L46</t>
  </si>
  <si>
    <t>General labourer (site cleaning, misc.)</t>
  </si>
  <si>
    <t>Phase 1–6</t>
  </si>
  <si>
    <t>180 days</t>
  </si>
  <si>
    <t>L47</t>
  </si>
  <si>
    <t>Security watchman (site)</t>
  </si>
  <si>
    <t>540 days</t>
  </si>
  <si>
    <t>SUBTOTAL J — EXTERNAL WORKS LABOUR</t>
  </si>
  <si>
    <t>GRAND TOTAL LABOUR COST</t>
  </si>
  <si>
    <t>SUPPLIER EVALUATION &amp; SELECTION ANALYSIS</t>
  </si>
  <si>
    <t>Weighted scoring methodology — All suppliers evaluated on 5 criteria (1–10 scale)</t>
  </si>
  <si>
    <t>EVALUATION CRITERIA WEIGHTS</t>
  </si>
  <si>
    <t>Criteria</t>
  </si>
  <si>
    <t>Weight</t>
  </si>
  <si>
    <t>Price Competitiveness</t>
  </si>
  <si>
    <t>30%</t>
  </si>
  <si>
    <t>How competitive is the quoted price vs market?</t>
  </si>
  <si>
    <t>Delivery Lead Time</t>
  </si>
  <si>
    <t>20%</t>
  </si>
  <si>
    <t>Can they supply on schedule — critical for construction timeline?</t>
  </si>
  <si>
    <t>Product Quality / Standard</t>
  </si>
  <si>
    <t>25%</t>
  </si>
  <si>
    <t>Do they meet SON, NAFDAC, or project specifications?</t>
  </si>
  <si>
    <t>Financial Stability &amp; Track Record</t>
  </si>
  <si>
    <t>15%</t>
  </si>
  <si>
    <t>Are they registered, with references and financial capacity?</t>
  </si>
  <si>
    <t>After-Sales / Warranty Support</t>
  </si>
  <si>
    <t>10%</t>
  </si>
  <si>
    <t>Do they offer replacement, warranty, or post-supply support?</t>
  </si>
  <si>
    <t>SUPPLIER SCORECARD — KEY MATERIAL CATEGORIES</t>
  </si>
  <si>
    <t>CATEGORY 1: CEMENT (Dangote, Lafarge, BUA)</t>
  </si>
  <si>
    <t>Supplier</t>
  </si>
  <si>
    <t>Location</t>
  </si>
  <si>
    <t>Price</t>
  </si>
  <si>
    <t>Lead Time</t>
  </si>
  <si>
    <t>Quality</t>
  </si>
  <si>
    <t>Track Record</t>
  </si>
  <si>
    <t>Warranty</t>
  </si>
  <si>
    <t>Wtd Score</t>
  </si>
  <si>
    <t>Decision</t>
  </si>
  <si>
    <t>Ilupeju, Lagos</t>
  </si>
  <si>
    <t>✓ SELECTED</t>
  </si>
  <si>
    <t>Lafarge Nigeria</t>
  </si>
  <si>
    <t>Ikeja, Lagos</t>
  </si>
  <si>
    <t>Not selected</t>
  </si>
  <si>
    <t>BUA Cement Dealer</t>
  </si>
  <si>
    <t>Mushin, Lagos</t>
  </si>
  <si>
    <t>RATIONALE: Highest weighted score (8.55). Best price competitiveness and quality consistency. Framework agreement for 650 bags secured at ₦7,200/bag.</t>
  </si>
  <si>
    <t>CATEGORY 2: STEEL RODS (Dangote Steel, Delta Steel)</t>
  </si>
  <si>
    <t>Apapa, Lagos</t>
  </si>
  <si>
    <t>Delta Steel Products</t>
  </si>
  <si>
    <t>Surulere, Lagos</t>
  </si>
  <si>
    <t>BIS Steel Nigeria</t>
  </si>
  <si>
    <t>Oshodi, Lagos</t>
  </si>
  <si>
    <t>RATIONALE: Best price and SON-certified quality. Consistent grade Y8–Y25 available. Volume discount secured for 7.3 tonnes total.</t>
  </si>
  <si>
    <t>CATEGORY 3: BLOCKS (Premier Blocks Ltd)</t>
  </si>
  <si>
    <t>Ojodu, Lagos</t>
  </si>
  <si>
    <t>Strongblock Nigeria</t>
  </si>
  <si>
    <t>Ipaja, Lagos</t>
  </si>
  <si>
    <t>Afrimass Blocks</t>
  </si>
  <si>
    <t>Agege, Lagos</t>
  </si>
  <si>
    <t>RATIONALE: Premium score (8.80). Delivers to site. Consistent 9" and 6" sizes meeting NIS 87. Best warranty on replacement of defective units.</t>
  </si>
  <si>
    <t>CATEGORY 4: ROOFING (Alum Roofing Ng)</t>
  </si>
  <si>
    <t>Bond Aluminium</t>
  </si>
  <si>
    <t>Isolo, Lagos</t>
  </si>
  <si>
    <t>MetroRoof Nigeria</t>
  </si>
  <si>
    <t>Agbara, Ogun</t>
  </si>
  <si>
    <t>RATIONALE: Best price per sqm at ₦3,800. Delivers factory-direct. 1-year warranty on material defects. 0.55mm gauge confirmed.</t>
  </si>
  <si>
    <t>CATEGORY 5: TILES (Eleganza)</t>
  </si>
  <si>
    <t>Porcelain Palace Ng</t>
  </si>
  <si>
    <t>Victoria Island</t>
  </si>
  <si>
    <t>Marshalls Tiles Nigeria</t>
  </si>
  <si>
    <t>Lekki</t>
  </si>
  <si>
    <t>RATIONALE: Highest overall score (8.70). Consistent stock availability, ISO quality, and competitive pricing. Replacement guarantee for breakages.</t>
  </si>
  <si>
    <t>CATEGORY 6: ELECTRICAL CABLES (Nigerchin)</t>
  </si>
  <si>
    <t>Coleman Cables Nig.</t>
  </si>
  <si>
    <t>Lekki, Lagos</t>
  </si>
  <si>
    <t>PZ Cables Nigeria</t>
  </si>
  <si>
    <t>RATIONALE: SON-certified. Best price for 2.5mm and 4mm cables. Full stock availability. Technical support on wiring schedule provided.</t>
  </si>
  <si>
    <t>CATEGORY 7: PLUMBING (Vanguard Pipes)</t>
  </si>
  <si>
    <t>Aquatech Pipes Nig.</t>
  </si>
  <si>
    <t>Georg Fischer Nig.</t>
  </si>
  <si>
    <t>V/Island, Lagos</t>
  </si>
  <si>
    <t>RATIONALE: Best price and fastest delivery. uPVC and PPR pipes in all required sizes available in Lagos stock. 3-year fitting warranty.</t>
  </si>
  <si>
    <t>CATEGORY 8: READY MIX CONCRETE (Lafarge ReadyMix)</t>
  </si>
  <si>
    <t>Sagamu Rd, Lagos</t>
  </si>
  <si>
    <t>Dantata &amp; Sawoe</t>
  </si>
  <si>
    <t>RATIONALE: Best quality assurance. 25N/mm² guaranteed with test cubes. 8-hour SLA on delivery. Most reliable for foundation pour scheduling.</t>
  </si>
  <si>
    <t>PROFESSIONAL FEES &amp; CONSULTANCY COSTS</t>
  </si>
  <si>
    <t>Regulatory, consultancy, and statutory costs in Nigerian Naira (₦)</t>
  </si>
  <si>
    <t>TOTAL PROFESSIONAL FEES</t>
  </si>
  <si>
    <t>Service Description</t>
  </si>
  <si>
    <t>Service Provider</t>
  </si>
  <si>
    <t>Basis</t>
  </si>
  <si>
    <t>Notes</t>
  </si>
  <si>
    <t>PF-01</t>
  </si>
  <si>
    <t>Architectural Design &amp; Drawings</t>
  </si>
  <si>
    <t>Arch. Biodun Adeleke (ARCON Registered)</t>
  </si>
  <si>
    <t>% of contract</t>
  </si>
  <si>
    <t>Full working drawings, 3D visualization, and specification</t>
  </si>
  <si>
    <t>PF-02</t>
  </si>
  <si>
    <t>Structural Engineering Design</t>
  </si>
  <si>
    <t>Engr. Chike Okonkwo (COREN Registered)</t>
  </si>
  <si>
    <t>Lump sum</t>
  </si>
  <si>
    <t>Structural calculations, foundation design, raft slab specification</t>
  </si>
  <si>
    <t>PF-03</t>
  </si>
  <si>
    <t>Quantity Surveying Services</t>
  </si>
  <si>
    <t>QS Tunde Adesola (NIQS Member)</t>
  </si>
  <si>
    <t>BOQ preparation, cost planning, valuation, and final account</t>
  </si>
  <si>
    <t>PF-04</t>
  </si>
  <si>
    <t>Building Plan Approval (LASBCA)</t>
  </si>
  <si>
    <t>Lagos State Building Control Agency</t>
  </si>
  <si>
    <t>Statutory fee</t>
  </si>
  <si>
    <t>Approval of building plans per Lagos State Urban Planning Law</t>
  </si>
  <si>
    <t>PF-05</t>
  </si>
  <si>
    <t>Environmental Impact Assessment</t>
  </si>
  <si>
    <t>Lagos State EPA</t>
  </si>
  <si>
    <t>EIA report for development in designated zone</t>
  </si>
  <si>
    <t>PF-06</t>
  </si>
  <si>
    <t>Survey &amp; Deed of Assignment</t>
  </si>
  <si>
    <t>Licensed surveyor — Surveyor Musa Bello</t>
  </si>
  <si>
    <t>Certificate of Occupancy (C of O) processing and survey plan</t>
  </si>
  <si>
    <t>PF-07</t>
  </si>
  <si>
    <t>Project Management Supervision</t>
  </si>
  <si>
    <t>PM Consultant — Construct-Pro Ltd</t>
  </si>
  <si>
    <t>Monthly retainer × 18</t>
  </si>
  <si>
    <t>Monthly site visits, progress reports, contractor management</t>
  </si>
  <si>
    <t>PF-08</t>
  </si>
  <si>
    <t>Soil Investigation / Geotechnical Report</t>
  </si>
  <si>
    <t>GeoTech Nigeria Ltd</t>
  </si>
  <si>
    <t>Borehole logs, bearing capacity, German floor specification</t>
  </si>
  <si>
    <t>PF-09</t>
  </si>
  <si>
    <t>MEP Engineering (M&amp;E Design)</t>
  </si>
  <si>
    <t>MEP Consultants Nigeria</t>
  </si>
  <si>
    <t>Mechanical, electrical and plumbing design and specifications</t>
  </si>
  <si>
    <t>PF-10</t>
  </si>
  <si>
    <t>Insurance — Contractor All Risk (CAR)</t>
  </si>
  <si>
    <t>AXA Mansard Insurance</t>
  </si>
  <si>
    <t>Annual premium</t>
  </si>
  <si>
    <t>18-month CAR policy covering materials, plant, and third-party liability</t>
  </si>
  <si>
    <t>PF-11</t>
  </si>
  <si>
    <t>Water Board Connection Approval</t>
  </si>
  <si>
    <t>Lagos Water Corporation</t>
  </si>
  <si>
    <t>Water mains connection application and approval</t>
  </si>
  <si>
    <t>PF-12</t>
  </si>
  <si>
    <t>EKEDC Electrical Connection</t>
  </si>
  <si>
    <t>Eko Electricity Distribution Co.</t>
  </si>
  <si>
    <t>Meter and service connection to national grid</t>
  </si>
  <si>
    <t>PF-13</t>
  </si>
  <si>
    <t>COREN Certification (Electrical &amp; Civil)</t>
  </si>
  <si>
    <t>Council for the Regulation of Engineering</t>
  </si>
  <si>
    <t>Mandatory engineering certification on completion</t>
  </si>
  <si>
    <t>PF-14</t>
  </si>
  <si>
    <t>Final Completion Certificate</t>
  </si>
  <si>
    <t>LASBCA</t>
  </si>
  <si>
    <t>Habitation / completion certificate from Lagos State</t>
  </si>
  <si>
    <t>PF-15</t>
  </si>
  <si>
    <t>Procurement Officer Professional Fee</t>
  </si>
  <si>
    <t>Self (Portfolio Owner)</t>
  </si>
  <si>
    <t>Full procurement management — 18 months: sourcing, tendering, contracting</t>
  </si>
  <si>
    <t>PROCUREMENT SCHEDULE &amp; PURCHASE ORDER TRACKER</t>
  </si>
  <si>
    <t>Live tracking of all material procurement orders  |  3-Bedroom Flat Project  |  2025</t>
  </si>
  <si>
    <t>PO No.</t>
  </si>
  <si>
    <t>Material/Service</t>
  </si>
  <si>
    <t>PO Value (₦)</t>
  </si>
  <si>
    <t>Order Date</t>
  </si>
  <si>
    <t>Expected Delivery</t>
  </si>
  <si>
    <t>Actual Delivery</t>
  </si>
  <si>
    <t>Payment Status</t>
  </si>
  <si>
    <t>PO-001</t>
  </si>
  <si>
    <t>Geotechnical/Soil Investigation</t>
  </si>
  <si>
    <t>Pre-Construction</t>
  </si>
  <si>
    <t>1 lot</t>
  </si>
  <si>
    <t>05-Jan-2025</t>
  </si>
  <si>
    <t>15-Jan-2025</t>
  </si>
  <si>
    <t>DELIVERED</t>
  </si>
  <si>
    <t>PAID</t>
  </si>
  <si>
    <t>PO-002</t>
  </si>
  <si>
    <t>Architectural &amp; Structural Drawings</t>
  </si>
  <si>
    <t>Arch. Adeleke &amp; Engr. Okonkwo</t>
  </si>
  <si>
    <t>28-Feb-2025</t>
  </si>
  <si>
    <t>PO-003</t>
  </si>
  <si>
    <t>LASBCA Building Plan Approval</t>
  </si>
  <si>
    <t>Lagos State Building Control</t>
  </si>
  <si>
    <t>10-Jan-2025</t>
  </si>
  <si>
    <t>15-Mar-2025</t>
  </si>
  <si>
    <t>PO-004</t>
  </si>
  <si>
    <t>Site Clearing &amp; Excavation</t>
  </si>
  <si>
    <t>20-Mar-2025</t>
  </si>
  <si>
    <t>25-Mar-2025</t>
  </si>
  <si>
    <t>24-Mar-2025</t>
  </si>
  <si>
    <t>PO-005</t>
  </si>
  <si>
    <t>Anti-Termite Treatment</t>
  </si>
  <si>
    <t>22-Mar-2025</t>
  </si>
  <si>
    <t>23-Mar-2025</t>
  </si>
  <si>
    <t>PO-006</t>
  </si>
  <si>
    <t>Hardcore Supply &amp; Compaction</t>
  </si>
  <si>
    <t>PO-007</t>
  </si>
  <si>
    <t>BRC Mesh A393 (30 sheets)</t>
  </si>
  <si>
    <t>30-Mar-2025</t>
  </si>
  <si>
    <t>PO-008</t>
  </si>
  <si>
    <t>Dangote Cement — Batch 1 (200 bags)</t>
  </si>
  <si>
    <t>26-Mar-2025</t>
  </si>
  <si>
    <t>28-Mar-2025</t>
  </si>
  <si>
    <t>PO-009</t>
  </si>
  <si>
    <t>Granite &amp; Sharp Sand — Batch 1</t>
  </si>
  <si>
    <t>Apapa Quarry Ltd / Lagos Sand</t>
  </si>
  <si>
    <t>27-Mar-2025</t>
  </si>
  <si>
    <t>29-Mar-2025</t>
  </si>
  <si>
    <t>PO-010</t>
  </si>
  <si>
    <t>Ready Mix Concrete — Raft Slab</t>
  </si>
  <si>
    <t>01-Apr-2025</t>
  </si>
  <si>
    <t>03-Apr-2025</t>
  </si>
  <si>
    <t>PO-011</t>
  </si>
  <si>
    <t>Mild Steel Rods Y16 &amp; Y12 (Foundation)</t>
  </si>
  <si>
    <t>31-Mar-2025</t>
  </si>
  <si>
    <t>PO-012</t>
  </si>
  <si>
    <t>DPC Bricks &amp; Damp Proof Membrane</t>
  </si>
  <si>
    <t>Premier Blocks Ltd / BuildPro</t>
  </si>
  <si>
    <t>05-Apr-2025</t>
  </si>
  <si>
    <t>PO-013</t>
  </si>
  <si>
    <t>9-inch Hollow Blocks (4200 units)</t>
  </si>
  <si>
    <t>15-Apr-2025</t>
  </si>
  <si>
    <t>20-Apr-2025</t>
  </si>
  <si>
    <t>22-Apr-2025</t>
  </si>
  <si>
    <t>PO-014</t>
  </si>
  <si>
    <t>6-inch Solid Blocks (3500 units)</t>
  </si>
  <si>
    <t>21-Apr-2025</t>
  </si>
  <si>
    <t>PO-015</t>
  </si>
  <si>
    <t>Dangote Cement — Batch 2 (300 bags)</t>
  </si>
  <si>
    <t>23-Apr-2025</t>
  </si>
  <si>
    <t>PO-016</t>
  </si>
  <si>
    <t>Steel Rods Y16, Y12, Y10 (Columns &amp; Beams)</t>
  </si>
  <si>
    <t>25-Apr-2025</t>
  </si>
  <si>
    <t>26-Apr-2025</t>
  </si>
  <si>
    <t>PO-017</t>
  </si>
  <si>
    <t>Ready Mix Concrete — Ground Floor Slab</t>
  </si>
  <si>
    <t>10-May-2025</t>
  </si>
  <si>
    <t>12-May-2025</t>
  </si>
  <si>
    <t>PO-018</t>
  </si>
  <si>
    <t>Form Work Timber &amp; Plywood (Batch 1)</t>
  </si>
  <si>
    <t>05-May-2025</t>
  </si>
  <si>
    <t>08-May-2025</t>
  </si>
  <si>
    <t>09-May-2025</t>
  </si>
  <si>
    <t>PO-019</t>
  </si>
  <si>
    <t>6-inch Hollow Blocks — 1st Floor (2800)</t>
  </si>
  <si>
    <t>20-Jun-2025</t>
  </si>
  <si>
    <t>25-Jun-2025</t>
  </si>
  <si>
    <t>27-Jun-2025</t>
  </si>
  <si>
    <t>PO-020</t>
  </si>
  <si>
    <t>Dangote Cement — Batch 3 (150 bags)</t>
  </si>
  <si>
    <t>22-Jun-2025</t>
  </si>
  <si>
    <t>PO-021</t>
  </si>
  <si>
    <t>Ready Mix Concrete — First Floor Slab</t>
  </si>
  <si>
    <t>15-Jul-2025</t>
  </si>
  <si>
    <t>17-Jul-2025</t>
  </si>
  <si>
    <t>PO-022</t>
  </si>
  <si>
    <t>Steel Rods Y8 (Distribution bars)</t>
  </si>
  <si>
    <t>15-Jun-2025</t>
  </si>
  <si>
    <t>18-Jun-2025</t>
  </si>
  <si>
    <t>PO-023</t>
  </si>
  <si>
    <t>Roofing Timber (Rafters &amp; Purlins)</t>
  </si>
  <si>
    <t>01-Aug-2025</t>
  </si>
  <si>
    <t>05-Aug-2025</t>
  </si>
  <si>
    <t>06-Aug-2025</t>
  </si>
  <si>
    <t>PO-024</t>
  </si>
  <si>
    <t>Aluminum Long Span Roofing Sheets</t>
  </si>
  <si>
    <t>07-Aug-2025</t>
  </si>
  <si>
    <t>PO-025</t>
  </si>
  <si>
    <t>Ridge Caps, Fascia &amp; Gutters</t>
  </si>
  <si>
    <t>Alum Roofing Ng / RoofPro</t>
  </si>
  <si>
    <t>08-Aug-2025</t>
  </si>
  <si>
    <t>12-Aug-2025</t>
  </si>
  <si>
    <t>13-Aug-2025</t>
  </si>
  <si>
    <t>PO-026</t>
  </si>
  <si>
    <t>All Plumbing Materials (uPVC, PPR, fittings)</t>
  </si>
  <si>
    <t>01-Sep-2025</t>
  </si>
  <si>
    <t>10-Sep-2025</t>
  </si>
  <si>
    <t>11-Sep-2025</t>
  </si>
  <si>
    <t>PARTIAL PMT</t>
  </si>
  <si>
    <t>PO-027</t>
  </si>
  <si>
    <t>Bathroom Fittings (WC, basins, showers)</t>
  </si>
  <si>
    <t>ON ORDER</t>
  </si>
  <si>
    <t>DEPOSIT PAID</t>
  </si>
  <si>
    <t>PO-028</t>
  </si>
  <si>
    <t>Electrical Cables (all gauges)</t>
  </si>
  <si>
    <t>08-Sep-2025</t>
  </si>
  <si>
    <t>PO-029</t>
  </si>
  <si>
    <t>Distribution Board, MCBs &amp; Sockets</t>
  </si>
  <si>
    <t>Clipsal Nigeria / Schneider</t>
  </si>
  <si>
    <t>05-Sep-2025</t>
  </si>
  <si>
    <t>AWAITING</t>
  </si>
  <si>
    <t>NOT PAID</t>
  </si>
  <si>
    <t>PO-030</t>
  </si>
  <si>
    <t>Inverter, Batteries &amp; Solar Panels</t>
  </si>
  <si>
    <t>Victron Energy / Jinko Solar</t>
  </si>
  <si>
    <t>20-Sep-2025</t>
  </si>
  <si>
    <t>PO-031</t>
  </si>
  <si>
    <t>Aluminium Windows (all types)</t>
  </si>
  <si>
    <t>25-Sep-2025</t>
  </si>
  <si>
    <t>PO-032</t>
  </si>
  <si>
    <t>Security Doors (main &amp; back)</t>
  </si>
  <si>
    <t>PO-033</t>
  </si>
  <si>
    <t>Internal &amp; Bathroom Doors</t>
  </si>
  <si>
    <t>15-Oct-2025</t>
  </si>
  <si>
    <t>01-Nov-2025</t>
  </si>
  <si>
    <t>PENDING</t>
  </si>
  <si>
    <t>PO-034</t>
  </si>
  <si>
    <t>All Floor &amp; Wall Tiles</t>
  </si>
  <si>
    <t>15-Nov-2025</t>
  </si>
  <si>
    <t>PO-035</t>
  </si>
  <si>
    <t>Tile Adhesive &amp; Grout</t>
  </si>
  <si>
    <t>10-Nov-2025</t>
  </si>
  <si>
    <t>PO-036</t>
  </si>
  <si>
    <t>Paints (Dulux Interior &amp; Exterior)</t>
  </si>
  <si>
    <t>25-Nov-2025</t>
  </si>
  <si>
    <t>PO-037</t>
  </si>
  <si>
    <t>POP Ceiling Boards &amp; Cornices</t>
  </si>
  <si>
    <t>30-Nov-2025</t>
  </si>
  <si>
    <t>PO-038</t>
  </si>
  <si>
    <t>Staircase Steel &amp; Handrails</t>
  </si>
  <si>
    <t>01-Dec-2025</t>
  </si>
  <si>
    <t>20-Dec-2025</t>
  </si>
  <si>
    <t>PO-039</t>
  </si>
  <si>
    <t>Gate, Fence Blocks &amp; Driveway Paving</t>
  </si>
  <si>
    <t>Ironmax / Premier / Interloc Nig.</t>
  </si>
  <si>
    <t>01-Jan-2026</t>
  </si>
  <si>
    <t>28-Feb-2026</t>
  </si>
  <si>
    <t>PO-040</t>
  </si>
  <si>
    <t>Borehole Drilling &amp; Water System</t>
  </si>
  <si>
    <t>15-Jan-2026</t>
  </si>
  <si>
    <t>01-Mar-2026</t>
  </si>
  <si>
    <t>TOTAL COMMITTED PROCUREMENT VALUE</t>
  </si>
  <si>
    <t>TOTAL POs ISSUED</t>
  </si>
  <si>
    <t>ON ORDER / PENDING</t>
  </si>
  <si>
    <t>PROJECT BUDGET SUMMARY &amp; COST ANALYSIS</t>
  </si>
  <si>
    <t>3-Bedroom Flat | German Floor Foundation | Lagos, Nigeria | All figures in ₦</t>
  </si>
  <si>
    <t>MATERIALS COST</t>
  </si>
  <si>
    <t>LABOUR COST</t>
  </si>
  <si>
    <t>PROFESSIONAL FEES</t>
  </si>
  <si>
    <t>CONTINGENCY (10%)</t>
  </si>
  <si>
    <t>GRAND TOTAL</t>
  </si>
  <si>
    <t>BUDGET BREAKDOWN BY CONSTRUCTION PHASE</t>
  </si>
  <si>
    <t>Materials (₦)</t>
  </si>
  <si>
    <t>Labour (₦)</t>
  </si>
  <si>
    <t>Total (₦)</t>
  </si>
  <si>
    <t>% of Budget</t>
  </si>
  <si>
    <t>Site Preparation &amp; German Floor Foundation</t>
  </si>
  <si>
    <t>Ground Floor Superstructure (Block, Concrete, Steel)</t>
  </si>
  <si>
    <t>MEP (Plumbing, Electrical, Solar)</t>
  </si>
  <si>
    <t>Finishing (Tiling, Painting, Doors, Fencing)</t>
  </si>
  <si>
    <t>TOTAL (excl. Fees &amp; Contingency)</t>
  </si>
  <si>
    <t>PROCUREMENT STRATEGY HIGHLIGHTS</t>
  </si>
  <si>
    <t>Competitive Tendering</t>
  </si>
  <si>
    <t>All major materials (cement, steel, concrete, tiles) subjected to minimum 3-quote process. Lowest compliant bid selected.</t>
  </si>
  <si>
    <t>₦ Savings: ~₦4.2M (vs. highest quotes)</t>
  </si>
  <si>
    <t>Framework Agreements</t>
  </si>
  <si>
    <t>Cement (650 bags @ ₦7,200), Blocks (10,500 units), Steel (7.3 tonnes) — locked-in unit rates with approved suppliers.</t>
  </si>
  <si>
    <t>Risk mitigation: Price inflation protection</t>
  </si>
  <si>
    <t>Staged Procurement</t>
  </si>
  <si>
    <t>Materials procured phase-by-phase to avoid over-stocking, reduce storage risk, and optimize cash flow.</t>
  </si>
  <si>
    <t>Cash flow: Avoids ₦15M+ upfront capital tie-up</t>
  </si>
  <si>
    <t>Local Sourcing Priority</t>
  </si>
  <si>
    <t>70% of materials sourced within 30km of site (Lagos metropolis). Reduces transport cost &amp; lead time significantly.</t>
  </si>
  <si>
    <t>Logistics savings: ~₦850,000 estimated</t>
  </si>
  <si>
    <t>Vendor Pre-Qualification</t>
  </si>
  <si>
    <t>All vendors verified: CAC registration, SON certification, bank statements, and site visit references required.</t>
  </si>
  <si>
    <t>Quality assurance: Zero non-conforming deliveries to date</t>
  </si>
  <si>
    <t>PO Documentation</t>
  </si>
  <si>
    <t>100% of purchases covered by formal Purchase Orders with delivery terms, inspection, and payment milestones.</t>
  </si>
  <si>
    <t>Compliance: Full audit trail for all transactions</t>
  </si>
  <si>
    <t>Akintunde Teslim  |  Designation: Senior Procurement Officer</t>
  </si>
  <si>
    <t>Prepared by: Akintunde Teslim  |  Project: Residential Building  |  Location: Lagos, Nigeria  |  Date: Q1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</si>
</sst>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3" x14ac:knownFonts="1">
    <font>
      <sz val="11"/>
      <color theme="1"/>
      <name val="Calibri"/>
      <family val="2"/>
      <charset val="1"/>
    </font>
    <font>
      <sz val="10"/>
      <color rgb="FF000000"/>
      <name val="Calibri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D4ED8"/>
      <name val="Calibri"/>
      <charset val="1"/>
    </font>
    <font>
      <sz val="10"/>
      <color rgb="FF1E293B"/>
      <name val="Calibri"/>
      <charset val="1"/>
    </font>
    <font>
      <b/>
      <sz val="9"/>
      <color rgb="FF1D4ED8"/>
      <name val="Calibri"/>
      <charset val="1"/>
    </font>
    <font>
      <b/>
      <sz val="9"/>
      <color rgb="FF0F766E"/>
      <name val="Calibri"/>
      <charset val="1"/>
    </font>
    <font>
      <b/>
      <sz val="9"/>
      <color rgb="FF92400E"/>
      <name val="Calibri"/>
      <charset val="1"/>
    </font>
    <font>
      <b/>
      <sz val="9"/>
      <color rgb="FF9A3412"/>
      <name val="Calibri"/>
      <charset val="1"/>
    </font>
    <font>
      <b/>
      <sz val="16"/>
      <color rgb="FF1D4ED8"/>
      <name val="Calibri"/>
      <charset val="1"/>
    </font>
    <font>
      <b/>
      <sz val="16"/>
      <color rgb="FF0F766E"/>
      <name val="Calibri"/>
      <charset val="1"/>
    </font>
    <font>
      <b/>
      <sz val="16"/>
      <color rgb="FF92400E"/>
      <name val="Calibri"/>
      <charset val="1"/>
    </font>
    <font>
      <b/>
      <sz val="16"/>
      <color rgb="FF9A3412"/>
      <name val="Calibri"/>
      <charset val="1"/>
    </font>
    <font>
      <i/>
      <sz val="9"/>
      <color rgb="FF1D4ED8"/>
      <name val="Calibri"/>
      <charset val="1"/>
    </font>
    <font>
      <i/>
      <sz val="9"/>
      <color rgb="FF0F766E"/>
      <name val="Calibri"/>
      <charset val="1"/>
    </font>
    <font>
      <i/>
      <sz val="9"/>
      <color rgb="FF92400E"/>
      <name val="Calibri"/>
      <charset val="1"/>
    </font>
    <font>
      <i/>
      <sz val="9"/>
      <color rgb="FF9A3412"/>
      <name val="Calibri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A2744"/>
      <name val="Calibri"/>
      <charset val="1"/>
    </font>
    <font>
      <b/>
      <sz val="10"/>
      <color rgb="FF1E293B"/>
      <name val="Calibri"/>
      <charset val="1"/>
    </font>
    <font>
      <sz val="9"/>
      <color rgb="FF374151"/>
      <name val="Calibri"/>
      <charset val="1"/>
    </font>
    <font>
      <b/>
      <sz val="13"/>
      <color rgb="FFFFFFFF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1E293B"/>
      <name val="Calibri"/>
      <charset val="1"/>
    </font>
    <font>
      <b/>
      <sz val="10"/>
      <color rgb="FF0F766E"/>
      <name val="Calibri"/>
      <charset val="1"/>
    </font>
    <font>
      <b/>
      <sz val="9"/>
      <color rgb="FF14532D"/>
      <name val="Calibri"/>
      <charset val="1"/>
    </font>
    <font>
      <b/>
      <sz val="11"/>
      <color rgb="FF1D4ED8"/>
      <name val="Calibri"/>
      <charset val="1"/>
    </font>
    <font>
      <b/>
      <sz val="11"/>
      <color rgb="FF14532D"/>
      <name val="Calibri"/>
      <charset val="1"/>
    </font>
    <font>
      <b/>
      <sz val="11"/>
      <color rgb="FF0F766E"/>
      <name val="Calibri"/>
      <charset val="1"/>
    </font>
    <font>
      <sz val="9"/>
      <color rgb="FF64748B"/>
      <name val="Calibri"/>
      <charset val="1"/>
    </font>
    <font>
      <b/>
      <sz val="11"/>
      <color rgb="FF92400E"/>
      <name val="Calibri"/>
      <charset val="1"/>
    </font>
    <font>
      <b/>
      <sz val="9"/>
      <color rgb="FFFFFFFF"/>
      <name val="Calibri"/>
      <charset val="1"/>
    </font>
    <font>
      <b/>
      <sz val="10"/>
      <color rgb="FF14532D"/>
      <name val="Calibri"/>
      <charset val="1"/>
    </font>
    <font>
      <b/>
      <sz val="10"/>
      <color rgb="FF92400E"/>
      <name val="Calibri"/>
      <charset val="1"/>
    </font>
    <font>
      <b/>
      <sz val="10"/>
      <color rgb="FF991B1B"/>
      <name val="Calibri"/>
      <charset val="1"/>
    </font>
    <font>
      <sz val="9"/>
      <color rgb="FF92400E"/>
      <name val="Calibri"/>
      <charset val="1"/>
    </font>
    <font>
      <i/>
      <sz val="9"/>
      <color rgb="FF64748B"/>
      <name val="Calibri"/>
      <charset val="1"/>
    </font>
    <font>
      <sz val="9"/>
      <color rgb="FF14532D"/>
      <name val="Calibri"/>
      <charset val="1"/>
    </font>
    <font>
      <b/>
      <sz val="9"/>
      <color rgb="FF991B1B"/>
      <name val="Calibri"/>
      <charset val="1"/>
    </font>
    <font>
      <b/>
      <sz val="9"/>
      <color rgb="FF64748B"/>
      <name val="Calibri"/>
      <charset val="1"/>
    </font>
    <font>
      <b/>
      <sz val="16"/>
      <color rgb="FF14532D"/>
      <name val="Calibri"/>
      <charset val="1"/>
    </font>
    <font>
      <b/>
      <sz val="14"/>
      <color rgb="FF1D4ED8"/>
      <name val="Calibri"/>
      <charset val="1"/>
    </font>
    <font>
      <b/>
      <sz val="14"/>
      <color rgb="FF0F766E"/>
      <name val="Calibri"/>
      <charset val="1"/>
    </font>
    <font>
      <b/>
      <sz val="14"/>
      <color rgb="FF92400E"/>
      <name val="Calibri"/>
      <charset val="1"/>
    </font>
    <font>
      <b/>
      <sz val="14"/>
      <color rgb="FF9A3412"/>
      <name val="Calibri"/>
      <charset val="1"/>
    </font>
    <font>
      <b/>
      <sz val="14"/>
      <color rgb="FF14532D"/>
      <name val="Calibri"/>
      <charset val="1"/>
    </font>
    <font>
      <i/>
      <sz val="9"/>
      <color rgb="FF14532D"/>
      <name val="Calibri"/>
      <charset val="1"/>
    </font>
    <font>
      <b/>
      <sz val="10"/>
      <color rgb="FF9A3412"/>
      <name val="Calibri"/>
      <charset val="1"/>
    </font>
    <font>
      <b/>
      <sz val="10"/>
      <color rgb="FF64748B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744"/>
        <bgColor rgb="FF1E293B"/>
      </patternFill>
    </fill>
    <fill>
      <patternFill patternType="solid">
        <fgColor rgb="FF1D4ED8"/>
        <bgColor rgb="FF3366FF"/>
      </patternFill>
    </fill>
    <fill>
      <patternFill patternType="solid">
        <fgColor rgb="FF0F766E"/>
        <bgColor rgb="FF008080"/>
      </patternFill>
    </fill>
    <fill>
      <patternFill patternType="solid">
        <fgColor rgb="FFDBEAFE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1E293B"/>
        <bgColor rgb="FF1A2744"/>
      </patternFill>
    </fill>
    <fill>
      <patternFill patternType="solid">
        <fgColor rgb="FFDCFCE7"/>
        <bgColor rgb="FFCCFBF1"/>
      </patternFill>
    </fill>
    <fill>
      <patternFill patternType="solid">
        <fgColor rgb="FFF1F5F9"/>
        <bgColor rgb="FFF9F9F9"/>
      </patternFill>
    </fill>
    <fill>
      <patternFill patternType="solid">
        <fgColor rgb="FFFEE2E2"/>
        <bgColor rgb="FFFFEDD5"/>
      </patternFill>
    </fill>
    <fill>
      <patternFill patternType="solid">
        <fgColor rgb="FF9A3412"/>
        <bgColor rgb="FF92400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6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4" borderId="0" xfId="0" applyFill="1"/>
    <xf numFmtId="0" fontId="5" fillId="5" borderId="1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1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3" fontId="25" fillId="4" borderId="2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right" vertical="center"/>
    </xf>
    <xf numFmtId="3" fontId="28" fillId="7" borderId="1" xfId="0" applyNumberFormat="1" applyFont="1" applyFill="1" applyBorder="1" applyAlignment="1">
      <alignment horizontal="right" vertical="center"/>
    </xf>
    <xf numFmtId="3" fontId="23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 wrapText="1"/>
    </xf>
    <xf numFmtId="3" fontId="29" fillId="12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right" vertical="center"/>
    </xf>
    <xf numFmtId="3" fontId="28" fillId="6" borderId="1" xfId="0" applyNumberFormat="1" applyFont="1" applyFill="1" applyBorder="1" applyAlignment="1">
      <alignment horizontal="right" vertical="center"/>
    </xf>
    <xf numFmtId="3" fontId="23" fillId="6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3" fontId="30" fillId="5" borderId="1" xfId="0" applyNumberFormat="1" applyFont="1" applyFill="1" applyBorder="1" applyAlignment="1">
      <alignment horizontal="right" vertical="center"/>
    </xf>
    <xf numFmtId="3" fontId="31" fillId="12" borderId="1" xfId="0" applyNumberFormat="1" applyFont="1" applyFill="1" applyBorder="1" applyAlignment="1">
      <alignment horizontal="right" vertical="center"/>
    </xf>
    <xf numFmtId="0" fontId="3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3" fontId="32" fillId="7" borderId="1" xfId="0" applyNumberFormat="1" applyFont="1" applyFill="1" applyBorder="1" applyAlignment="1">
      <alignment horizontal="right" vertical="center"/>
    </xf>
    <xf numFmtId="0" fontId="30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32" fillId="6" borderId="1" xfId="0" applyNumberFormat="1" applyFont="1" applyFill="1" applyBorder="1" applyAlignment="1">
      <alignment horizontal="right" vertical="center"/>
    </xf>
    <xf numFmtId="3" fontId="25" fillId="4" borderId="1" xfId="0" applyNumberFormat="1" applyFont="1" applyFill="1" applyBorder="1" applyAlignment="1">
      <alignment horizontal="right" vertical="center"/>
    </xf>
    <xf numFmtId="0" fontId="33" fillId="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3" fontId="33" fillId="7" borderId="1" xfId="0" applyNumberFormat="1" applyFont="1" applyFill="1" applyBorder="1" applyAlignment="1">
      <alignment horizontal="center" vertical="center"/>
    </xf>
    <xf numFmtId="3" fontId="33" fillId="6" borderId="1" xfId="0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/>
    </xf>
    <xf numFmtId="0" fontId="36" fillId="12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38" fillId="1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 wrapText="1"/>
    </xf>
    <xf numFmtId="3" fontId="25" fillId="4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9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3" fontId="45" fillId="5" borderId="2" xfId="0" applyNumberFormat="1" applyFont="1" applyFill="1" applyBorder="1" applyAlignment="1">
      <alignment horizontal="center" vertical="center"/>
    </xf>
    <xf numFmtId="3" fontId="46" fillId="8" borderId="2" xfId="0" applyNumberFormat="1" applyFont="1" applyFill="1" applyBorder="1" applyAlignment="1">
      <alignment horizontal="center" vertical="center"/>
    </xf>
    <xf numFmtId="3" fontId="47" fillId="9" borderId="2" xfId="0" applyNumberFormat="1" applyFont="1" applyFill="1" applyBorder="1" applyAlignment="1">
      <alignment horizontal="center" vertical="center"/>
    </xf>
    <xf numFmtId="3" fontId="48" fillId="10" borderId="2" xfId="0" applyNumberFormat="1" applyFont="1" applyFill="1" applyBorder="1" applyAlignment="1">
      <alignment horizontal="center" vertical="center"/>
    </xf>
    <xf numFmtId="3" fontId="49" fillId="12" borderId="2" xfId="0" applyNumberFormat="1" applyFont="1" applyFill="1" applyBorder="1" applyAlignment="1">
      <alignment horizontal="center" vertical="center"/>
    </xf>
    <xf numFmtId="0" fontId="50" fillId="12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right" vertical="center"/>
    </xf>
    <xf numFmtId="3" fontId="51" fillId="7" borderId="1" xfId="0" applyNumberFormat="1" applyFont="1" applyFill="1" applyBorder="1" applyAlignment="1">
      <alignment horizontal="right" vertical="center"/>
    </xf>
    <xf numFmtId="164" fontId="52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3" fontId="51" fillId="6" borderId="1" xfId="0" applyNumberFormat="1" applyFont="1" applyFill="1" applyBorder="1" applyAlignment="1">
      <alignment horizontal="right" vertical="center"/>
    </xf>
    <xf numFmtId="164" fontId="52" fillId="6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5" fillId="5" borderId="1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44" fillId="12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3" fontId="19" fillId="4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3" fontId="11" fillId="5" borderId="2" xfId="0" applyNumberFormat="1" applyFont="1" applyFill="1" applyBorder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3" fontId="13" fillId="9" borderId="2" xfId="0" applyNumberFormat="1" applyFont="1" applyFill="1" applyBorder="1" applyAlignment="1">
      <alignment horizontal="center" vertical="center"/>
    </xf>
    <xf numFmtId="3" fontId="14" fillId="10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9" fillId="9" borderId="1" xfId="0" applyFont="1" applyFill="1" applyBorder="1" applyAlignment="1">
      <alignment horizontal="left" vertical="center" wrapText="1"/>
    </xf>
    <xf numFmtId="0" fontId="26" fillId="11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7" borderId="1" xfId="0" applyFont="1" applyFill="1" applyBorder="1" applyAlignment="1">
      <alignment horizontal="left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F766E"/>
      <rgbColor rgb="FFF1F5F9"/>
      <rgbColor rgb="FF878787"/>
      <rgbColor rgb="FF9999FF"/>
      <rgbColor rgb="FF92400E"/>
      <rgbColor rgb="FFFEF3C7"/>
      <rgbColor rgb="FFCCFBF1"/>
      <rgbColor rgb="FF581C87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FEDD5"/>
      <rgbColor rgb="FFF8FAFC"/>
      <rgbColor rgb="FFF9F9F9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A2744"/>
      <rgbColor rgb="FF339966"/>
      <rgbColor rgb="FF14532D"/>
      <rgbColor rgb="FF333300"/>
      <rgbColor rgb="FF9A3412"/>
      <rgbColor rgb="FF993366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B1:I29"/>
  <sheetViews>
    <sheetView showGridLines="0" zoomScaleNormal="100" workbookViewId="0">
      <selection activeCell="B3" sqref="B3:I3"/>
    </sheetView>
  </sheetViews>
  <sheetFormatPr defaultColWidth="8.6640625" defaultRowHeight="14.4" x14ac:dyDescent="0.3"/>
  <cols>
    <col min="1" max="1" width="2" customWidth="1"/>
    <col min="2" max="2" width="18" customWidth="1"/>
    <col min="3" max="3" width="41.21875" customWidth="1"/>
    <col min="4" max="9" width="14" customWidth="1"/>
    <col min="10" max="10" width="2" customWidth="1"/>
  </cols>
  <sheetData>
    <row r="1" spans="2:9" ht="9.75" customHeight="1" x14ac:dyDescent="0.3">
      <c r="B1" s="134"/>
      <c r="C1" s="134"/>
      <c r="D1" s="134"/>
      <c r="E1" s="134"/>
      <c r="F1" s="134"/>
      <c r="G1" s="134"/>
      <c r="H1" s="134"/>
      <c r="I1" s="134"/>
    </row>
    <row r="2" spans="2:9" ht="43.5" customHeight="1" x14ac:dyDescent="0.3">
      <c r="B2" s="135" t="s">
        <v>0</v>
      </c>
      <c r="C2" s="135"/>
      <c r="D2" s="135"/>
      <c r="E2" s="135"/>
      <c r="F2" s="135"/>
      <c r="G2" s="135"/>
      <c r="H2" s="135"/>
      <c r="I2" s="135"/>
    </row>
    <row r="3" spans="2:9" ht="21.75" customHeight="1" x14ac:dyDescent="0.3">
      <c r="B3" s="107" t="s">
        <v>929</v>
      </c>
      <c r="C3" s="107"/>
      <c r="D3" s="107"/>
      <c r="E3" s="107"/>
      <c r="F3" s="107"/>
      <c r="G3" s="107"/>
      <c r="H3" s="107"/>
      <c r="I3" s="107"/>
    </row>
    <row r="4" spans="2:9" ht="3.75" customHeight="1" x14ac:dyDescent="0.3">
      <c r="B4" s="3"/>
      <c r="C4" s="3"/>
      <c r="D4" s="3"/>
      <c r="E4" s="3"/>
      <c r="F4" s="3"/>
      <c r="G4" s="3"/>
      <c r="H4" s="3"/>
      <c r="I4" s="3"/>
    </row>
    <row r="5" spans="2:9" ht="12" customHeight="1" x14ac:dyDescent="0.3"/>
    <row r="6" spans="2:9" ht="25.5" customHeight="1" x14ac:dyDescent="0.3">
      <c r="B6" s="136" t="s">
        <v>1</v>
      </c>
      <c r="C6" s="136"/>
      <c r="D6" s="136"/>
      <c r="E6" s="136"/>
      <c r="F6" s="136"/>
      <c r="G6" s="136"/>
      <c r="H6" s="136"/>
      <c r="I6" s="136"/>
    </row>
    <row r="7" spans="2:9" ht="24" customHeight="1" x14ac:dyDescent="0.3">
      <c r="B7" s="4" t="s">
        <v>2</v>
      </c>
      <c r="C7" s="129" t="s">
        <v>3</v>
      </c>
      <c r="D7" s="129"/>
      <c r="E7" s="129"/>
      <c r="F7" s="129"/>
      <c r="G7" s="129"/>
      <c r="H7" s="129"/>
      <c r="I7" s="129"/>
    </row>
    <row r="8" spans="2:9" ht="24" customHeight="1" x14ac:dyDescent="0.3">
      <c r="B8" s="4" t="s">
        <v>4</v>
      </c>
      <c r="C8" s="130" t="s">
        <v>5</v>
      </c>
      <c r="D8" s="130"/>
      <c r="E8" s="130"/>
      <c r="F8" s="130"/>
      <c r="G8" s="130"/>
      <c r="H8" s="130"/>
      <c r="I8" s="130"/>
    </row>
    <row r="9" spans="2:9" ht="24" customHeight="1" x14ac:dyDescent="0.3">
      <c r="B9" s="4" t="s">
        <v>6</v>
      </c>
      <c r="C9" s="129" t="s">
        <v>7</v>
      </c>
      <c r="D9" s="129"/>
      <c r="E9" s="129"/>
      <c r="F9" s="129"/>
      <c r="G9" s="129"/>
      <c r="H9" s="129"/>
      <c r="I9" s="129"/>
    </row>
    <row r="10" spans="2:9" ht="24" customHeight="1" x14ac:dyDescent="0.3">
      <c r="B10" s="4" t="s">
        <v>8</v>
      </c>
      <c r="C10" s="130" t="s">
        <v>9</v>
      </c>
      <c r="D10" s="130"/>
      <c r="E10" s="130"/>
      <c r="F10" s="130"/>
      <c r="G10" s="130"/>
      <c r="H10" s="130"/>
      <c r="I10" s="130"/>
    </row>
    <row r="11" spans="2:9" ht="24" customHeight="1" x14ac:dyDescent="0.3">
      <c r="B11" s="4" t="s">
        <v>10</v>
      </c>
      <c r="C11" s="129" t="s">
        <v>11</v>
      </c>
      <c r="D11" s="129"/>
      <c r="E11" s="129"/>
      <c r="F11" s="129"/>
      <c r="G11" s="129"/>
      <c r="H11" s="129"/>
      <c r="I11" s="129"/>
    </row>
    <row r="12" spans="2:9" ht="24" customHeight="1" x14ac:dyDescent="0.3">
      <c r="B12" s="4" t="s">
        <v>12</v>
      </c>
      <c r="C12" s="130" t="s">
        <v>928</v>
      </c>
      <c r="D12" s="130"/>
      <c r="E12" s="130"/>
      <c r="F12" s="130"/>
      <c r="G12" s="130"/>
      <c r="H12" s="130"/>
      <c r="I12" s="130"/>
    </row>
    <row r="13" spans="2:9" ht="24" customHeight="1" x14ac:dyDescent="0.3">
      <c r="B13" s="4" t="s">
        <v>13</v>
      </c>
      <c r="C13" s="129" t="s">
        <v>14</v>
      </c>
      <c r="D13" s="129"/>
      <c r="E13" s="129"/>
      <c r="F13" s="129"/>
      <c r="G13" s="129"/>
      <c r="H13" s="129"/>
      <c r="I13" s="129"/>
    </row>
    <row r="14" spans="2:9" ht="24" customHeight="1" x14ac:dyDescent="0.3">
      <c r="B14" s="4" t="s">
        <v>15</v>
      </c>
      <c r="C14" s="130" t="s">
        <v>16</v>
      </c>
      <c r="D14" s="130"/>
      <c r="E14" s="130"/>
      <c r="F14" s="130"/>
      <c r="G14" s="130"/>
      <c r="H14" s="130"/>
      <c r="I14" s="130"/>
    </row>
    <row r="15" spans="2:9" ht="12" customHeight="1" x14ac:dyDescent="0.3"/>
    <row r="16" spans="2:9" ht="25.5" customHeight="1" x14ac:dyDescent="0.3">
      <c r="B16" s="119" t="s">
        <v>17</v>
      </c>
      <c r="C16" s="119"/>
      <c r="D16" s="119"/>
      <c r="E16" s="119"/>
      <c r="F16" s="119"/>
      <c r="G16" s="119"/>
      <c r="H16" s="119"/>
      <c r="I16" s="119"/>
    </row>
    <row r="17" spans="2:9" ht="27.75" customHeight="1" x14ac:dyDescent="0.3">
      <c r="B17" s="131" t="s">
        <v>18</v>
      </c>
      <c r="C17" s="131"/>
      <c r="D17" s="112" t="s">
        <v>19</v>
      </c>
      <c r="E17" s="112"/>
      <c r="F17" s="132" t="s">
        <v>20</v>
      </c>
      <c r="G17" s="132"/>
      <c r="H17" s="133" t="s">
        <v>21</v>
      </c>
      <c r="I17" s="133"/>
    </row>
    <row r="18" spans="2:9" ht="42" customHeight="1" x14ac:dyDescent="0.3">
      <c r="B18" s="121">
        <f>'Bill of Quantities'!L4</f>
        <v>63574700</v>
      </c>
      <c r="C18" s="121"/>
      <c r="D18" s="122">
        <f>'Labour Cost'!G4</f>
        <v>0</v>
      </c>
      <c r="E18" s="122"/>
      <c r="F18" s="123">
        <f>'Professional Fees'!E4</f>
        <v>0</v>
      </c>
      <c r="G18" s="123"/>
      <c r="H18" s="124">
        <f>('Bill of Quantities'!L4+'Labour Cost'!G4+'Professional Fees'!E4)*0.1</f>
        <v>6357470</v>
      </c>
      <c r="I18" s="124"/>
    </row>
    <row r="19" spans="2:9" ht="18" customHeight="1" x14ac:dyDescent="0.3">
      <c r="B19" s="125" t="s">
        <v>22</v>
      </c>
      <c r="C19" s="125"/>
      <c r="D19" s="126" t="s">
        <v>22</v>
      </c>
      <c r="E19" s="126"/>
      <c r="F19" s="127" t="s">
        <v>22</v>
      </c>
      <c r="G19" s="127"/>
      <c r="H19" s="128" t="s">
        <v>22</v>
      </c>
      <c r="I19" s="128"/>
    </row>
    <row r="20" spans="2:9" ht="31.5" customHeight="1" x14ac:dyDescent="0.3">
      <c r="B20" s="108" t="s">
        <v>23</v>
      </c>
      <c r="C20" s="108"/>
      <c r="D20" s="108"/>
      <c r="E20" s="108"/>
      <c r="F20" s="108"/>
      <c r="G20" s="108"/>
      <c r="H20" s="118">
        <f>'Bill of Quantities'!L4+'Labour Cost'!G4+'Professional Fees'!E4+('Bill of Quantities'!L4+'Labour Cost'!G4+'Professional Fees'!E4)*0.1</f>
        <v>69932170</v>
      </c>
      <c r="I20" s="118"/>
    </row>
    <row r="21" spans="2:9" ht="12" customHeight="1" x14ac:dyDescent="0.3"/>
    <row r="22" spans="2:9" ht="25.5" customHeight="1" x14ac:dyDescent="0.3">
      <c r="B22" s="119" t="s">
        <v>24</v>
      </c>
      <c r="C22" s="119"/>
      <c r="D22" s="119"/>
      <c r="E22" s="119"/>
      <c r="F22" s="119"/>
      <c r="G22" s="119"/>
      <c r="H22" s="119"/>
      <c r="I22" s="119"/>
    </row>
    <row r="23" spans="2:9" ht="25.5" customHeight="1" x14ac:dyDescent="0.3">
      <c r="B23" s="9" t="s">
        <v>25</v>
      </c>
      <c r="C23" s="9" t="s">
        <v>26</v>
      </c>
      <c r="D23" s="9" t="s">
        <v>27</v>
      </c>
      <c r="E23" s="116" t="s">
        <v>28</v>
      </c>
      <c r="F23" s="117"/>
      <c r="G23" s="9" t="s">
        <v>29</v>
      </c>
      <c r="H23" s="116" t="s">
        <v>30</v>
      </c>
      <c r="I23" s="117"/>
    </row>
    <row r="24" spans="2:9" ht="55.2" customHeight="1" x14ac:dyDescent="0.3">
      <c r="B24" s="11" t="s">
        <v>31</v>
      </c>
      <c r="C24" s="12" t="s">
        <v>32</v>
      </c>
      <c r="D24" s="13" t="s">
        <v>33</v>
      </c>
      <c r="E24" s="113" t="s">
        <v>34</v>
      </c>
      <c r="F24" s="113"/>
      <c r="G24" s="15" t="s">
        <v>35</v>
      </c>
      <c r="H24" s="120" t="s">
        <v>36</v>
      </c>
      <c r="I24" s="120"/>
    </row>
    <row r="25" spans="2:9" ht="46.2" customHeight="1" x14ac:dyDescent="0.3">
      <c r="B25" s="17" t="s">
        <v>37</v>
      </c>
      <c r="C25" s="18" t="s">
        <v>38</v>
      </c>
      <c r="D25" s="19" t="s">
        <v>39</v>
      </c>
      <c r="E25" s="115" t="s">
        <v>40</v>
      </c>
      <c r="F25" s="115"/>
      <c r="G25" s="15" t="s">
        <v>41</v>
      </c>
      <c r="H25" s="114" t="s">
        <v>42</v>
      </c>
      <c r="I25" s="114"/>
    </row>
    <row r="26" spans="2:9" ht="48.6" customHeight="1" x14ac:dyDescent="0.3">
      <c r="B26" s="11" t="s">
        <v>43</v>
      </c>
      <c r="C26" s="12" t="s">
        <v>44</v>
      </c>
      <c r="D26" s="13" t="s">
        <v>45</v>
      </c>
      <c r="E26" s="113" t="s">
        <v>46</v>
      </c>
      <c r="F26" s="113"/>
      <c r="G26" s="15" t="s">
        <v>41</v>
      </c>
      <c r="H26" s="114" t="s">
        <v>42</v>
      </c>
      <c r="I26" s="114"/>
    </row>
    <row r="27" spans="2:9" ht="56.4" customHeight="1" x14ac:dyDescent="0.3">
      <c r="B27" s="17" t="s">
        <v>47</v>
      </c>
      <c r="C27" s="18" t="s">
        <v>48</v>
      </c>
      <c r="D27" s="19" t="s">
        <v>49</v>
      </c>
      <c r="E27" s="115" t="s">
        <v>50</v>
      </c>
      <c r="F27" s="115"/>
      <c r="G27" s="15" t="s">
        <v>51</v>
      </c>
      <c r="H27" s="114" t="s">
        <v>42</v>
      </c>
      <c r="I27" s="114"/>
    </row>
    <row r="28" spans="2:9" ht="57" customHeight="1" x14ac:dyDescent="0.3">
      <c r="B28" s="11" t="s">
        <v>52</v>
      </c>
      <c r="C28" s="12" t="s">
        <v>53</v>
      </c>
      <c r="D28" s="13" t="s">
        <v>54</v>
      </c>
      <c r="E28" s="113" t="s">
        <v>55</v>
      </c>
      <c r="F28" s="113"/>
      <c r="G28" s="15" t="s">
        <v>56</v>
      </c>
      <c r="H28" s="114" t="s">
        <v>42</v>
      </c>
      <c r="I28" s="114"/>
    </row>
    <row r="29" spans="2:9" ht="51.6" customHeight="1" x14ac:dyDescent="0.3">
      <c r="B29" s="17" t="s">
        <v>57</v>
      </c>
      <c r="C29" s="18" t="s">
        <v>58</v>
      </c>
      <c r="D29" s="19" t="s">
        <v>59</v>
      </c>
      <c r="E29" s="115" t="s">
        <v>60</v>
      </c>
      <c r="F29" s="115"/>
      <c r="G29" s="15" t="s">
        <v>61</v>
      </c>
      <c r="H29" s="114" t="s">
        <v>42</v>
      </c>
      <c r="I29" s="114"/>
    </row>
  </sheetData>
  <mergeCells count="42">
    <mergeCell ref="B1:I1"/>
    <mergeCell ref="B2:I2"/>
    <mergeCell ref="B3:I3"/>
    <mergeCell ref="B6:I6"/>
    <mergeCell ref="C7:I7"/>
    <mergeCell ref="C8:I8"/>
    <mergeCell ref="C9:I9"/>
    <mergeCell ref="C10:I10"/>
    <mergeCell ref="C11:I11"/>
    <mergeCell ref="C12:I12"/>
    <mergeCell ref="C13:I13"/>
    <mergeCell ref="C14:I14"/>
    <mergeCell ref="B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0:G20"/>
    <mergeCell ref="H20:I20"/>
    <mergeCell ref="B22:I22"/>
    <mergeCell ref="E24:F24"/>
    <mergeCell ref="H24:I24"/>
    <mergeCell ref="E28:F28"/>
    <mergeCell ref="H28:I28"/>
    <mergeCell ref="E29:F29"/>
    <mergeCell ref="H29:I29"/>
    <mergeCell ref="E23:F23"/>
    <mergeCell ref="H23:I23"/>
    <mergeCell ref="E25:F25"/>
    <mergeCell ref="H25:I25"/>
    <mergeCell ref="E26:F26"/>
    <mergeCell ref="H26:I26"/>
    <mergeCell ref="E27:F27"/>
    <mergeCell ref="H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B1:L175"/>
  <sheetViews>
    <sheetView showGridLines="0" zoomScaleNormal="100" workbookViewId="0">
      <pane xSplit="2" ySplit="6" topLeftCell="C175" activePane="bottomRight" state="frozen"/>
      <selection pane="topRight" activeCell="C1" sqref="C1"/>
      <selection pane="bottomLeft" activeCell="A7" sqref="A7"/>
      <selection pane="bottomRight" activeCell="N174" sqref="N174"/>
    </sheetView>
  </sheetViews>
  <sheetFormatPr defaultColWidth="8.6640625" defaultRowHeight="14.4" x14ac:dyDescent="0.3"/>
  <cols>
    <col min="1" max="1" width="2" customWidth="1"/>
    <col min="2" max="2" width="30.6640625" customWidth="1"/>
    <col min="3" max="3" width="34" customWidth="1"/>
    <col min="4" max="4" width="14" customWidth="1"/>
    <col min="5" max="5" width="10" customWidth="1"/>
    <col min="6" max="6" width="12" customWidth="1"/>
    <col min="7" max="11" width="14" customWidth="1"/>
    <col min="12" max="12" width="19.77734375" customWidth="1"/>
    <col min="13" max="13" width="2" customWidth="1"/>
  </cols>
  <sheetData>
    <row r="1" spans="2:12" ht="39.75" customHeight="1" x14ac:dyDescent="0.3">
      <c r="B1" s="106" t="s">
        <v>62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2:12" ht="21.75" customHeight="1" x14ac:dyDescent="0.3">
      <c r="B2" s="107" t="s">
        <v>63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ht="7.5" customHeight="1" x14ac:dyDescent="0.3"/>
    <row r="4" spans="2:12" ht="30" customHeight="1" x14ac:dyDescent="0.3">
      <c r="B4" s="142" t="s">
        <v>64</v>
      </c>
      <c r="C4" s="142"/>
      <c r="D4" s="142"/>
      <c r="E4" s="142"/>
      <c r="F4" s="142"/>
      <c r="G4" s="142"/>
      <c r="H4" s="142"/>
      <c r="I4" s="142"/>
      <c r="J4" s="142"/>
      <c r="K4" s="142"/>
      <c r="L4" s="22">
        <f>L175</f>
        <v>63574700</v>
      </c>
    </row>
    <row r="5" spans="2:12" ht="7.5" customHeight="1" x14ac:dyDescent="0.3"/>
    <row r="6" spans="2:12" ht="31.5" customHeight="1" x14ac:dyDescent="0.3">
      <c r="B6" s="9" t="s">
        <v>65</v>
      </c>
      <c r="C6" s="9" t="s">
        <v>26</v>
      </c>
      <c r="D6" s="9" t="s">
        <v>66</v>
      </c>
      <c r="E6" s="9" t="s">
        <v>67</v>
      </c>
      <c r="F6" s="9" t="s">
        <v>68</v>
      </c>
      <c r="G6" s="9" t="s">
        <v>69</v>
      </c>
      <c r="H6" s="9" t="s">
        <v>70</v>
      </c>
      <c r="I6" s="9" t="s">
        <v>71</v>
      </c>
      <c r="J6" s="9" t="s">
        <v>72</v>
      </c>
      <c r="K6" s="9" t="s">
        <v>73</v>
      </c>
      <c r="L6" s="9" t="s">
        <v>74</v>
      </c>
    </row>
    <row r="7" spans="2:12" ht="25.5" customHeight="1" x14ac:dyDescent="0.3">
      <c r="B7" s="141" t="s">
        <v>75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</row>
    <row r="8" spans="2:12" ht="45.6" customHeight="1" x14ac:dyDescent="0.3">
      <c r="B8" s="23" t="s">
        <v>76</v>
      </c>
      <c r="C8" s="24" t="s">
        <v>77</v>
      </c>
      <c r="D8" s="13" t="s">
        <v>78</v>
      </c>
      <c r="E8" s="25">
        <v>600</v>
      </c>
      <c r="F8" s="26">
        <v>450</v>
      </c>
      <c r="G8" s="27">
        <f>E8*F8</f>
        <v>270000</v>
      </c>
      <c r="H8" s="28">
        <v>270000</v>
      </c>
      <c r="I8" s="28">
        <v>280000</v>
      </c>
      <c r="J8" s="28">
        <v>265000</v>
      </c>
      <c r="K8" s="29" t="s">
        <v>79</v>
      </c>
      <c r="L8" s="30">
        <f>MAX(H8,I8,J8)-G8</f>
        <v>10000</v>
      </c>
    </row>
    <row r="9" spans="2:12" ht="31.2" customHeight="1" x14ac:dyDescent="0.3">
      <c r="B9" s="31" t="s">
        <v>80</v>
      </c>
      <c r="C9" s="32" t="s">
        <v>81</v>
      </c>
      <c r="D9" s="19" t="s">
        <v>82</v>
      </c>
      <c r="E9" s="33">
        <v>108</v>
      </c>
      <c r="F9" s="34">
        <v>3500</v>
      </c>
      <c r="G9" s="35">
        <f>E9*F9</f>
        <v>378000</v>
      </c>
      <c r="H9" s="36">
        <v>380000</v>
      </c>
      <c r="I9" s="36">
        <v>405000</v>
      </c>
      <c r="J9" s="36">
        <v>370000</v>
      </c>
      <c r="K9" s="29" t="s">
        <v>83</v>
      </c>
      <c r="L9" s="30">
        <f>MAX(H9,I9,J9)-G9</f>
        <v>27000</v>
      </c>
    </row>
    <row r="10" spans="2:12" ht="21.75" customHeight="1" x14ac:dyDescent="0.3">
      <c r="B10" s="23" t="s">
        <v>84</v>
      </c>
      <c r="C10" s="24" t="s">
        <v>85</v>
      </c>
      <c r="D10" s="13" t="s">
        <v>78</v>
      </c>
      <c r="E10" s="25">
        <v>180</v>
      </c>
      <c r="F10" s="26">
        <v>1200</v>
      </c>
      <c r="G10" s="27">
        <f>E10*F10</f>
        <v>216000</v>
      </c>
      <c r="H10" s="28">
        <v>218000</v>
      </c>
      <c r="I10" s="28">
        <v>225000</v>
      </c>
      <c r="J10" s="28">
        <v>215000</v>
      </c>
      <c r="K10" s="29" t="s">
        <v>86</v>
      </c>
      <c r="L10" s="30">
        <f>MAX(H10,I10,J10)-G10</f>
        <v>9000</v>
      </c>
    </row>
    <row r="11" spans="2:12" ht="34.200000000000003" customHeight="1" x14ac:dyDescent="0.3">
      <c r="B11" s="31" t="s">
        <v>87</v>
      </c>
      <c r="C11" s="32" t="s">
        <v>88</v>
      </c>
      <c r="D11" s="19" t="s">
        <v>82</v>
      </c>
      <c r="E11" s="33">
        <v>27</v>
      </c>
      <c r="F11" s="34">
        <v>8500</v>
      </c>
      <c r="G11" s="35">
        <f>E11*F11</f>
        <v>229500</v>
      </c>
      <c r="H11" s="36">
        <v>232000</v>
      </c>
      <c r="I11" s="36">
        <v>240000</v>
      </c>
      <c r="J11" s="36">
        <v>228000</v>
      </c>
      <c r="K11" s="29" t="s">
        <v>79</v>
      </c>
      <c r="L11" s="30">
        <f>MAX(H11,I11,J11)-G11</f>
        <v>10500</v>
      </c>
    </row>
    <row r="12" spans="2:12" ht="37.200000000000003" customHeight="1" x14ac:dyDescent="0.3">
      <c r="B12" s="23" t="s">
        <v>89</v>
      </c>
      <c r="C12" s="24" t="s">
        <v>90</v>
      </c>
      <c r="D12" s="13" t="s">
        <v>82</v>
      </c>
      <c r="E12" s="25">
        <v>9</v>
      </c>
      <c r="F12" s="26">
        <v>55000</v>
      </c>
      <c r="G12" s="27">
        <f>E12*F12</f>
        <v>495000</v>
      </c>
      <c r="H12" s="28">
        <v>500000</v>
      </c>
      <c r="I12" s="28">
        <v>510000</v>
      </c>
      <c r="J12" s="28">
        <v>495000</v>
      </c>
      <c r="K12" s="29" t="s">
        <v>91</v>
      </c>
      <c r="L12" s="30">
        <f>MAX(H12,I12,J12)-G12</f>
        <v>15000</v>
      </c>
    </row>
    <row r="13" spans="2:12" ht="21.75" customHeight="1" x14ac:dyDescent="0.3">
      <c r="B13" s="4" t="s">
        <v>92</v>
      </c>
      <c r="C13" s="37"/>
      <c r="D13" s="37"/>
      <c r="E13" s="37"/>
      <c r="F13" s="37"/>
      <c r="G13" s="38">
        <f>SUM(G8:G12)</f>
        <v>1588500</v>
      </c>
      <c r="H13" s="37"/>
      <c r="I13" s="37"/>
      <c r="J13" s="37"/>
      <c r="K13" s="37"/>
      <c r="L13" s="39">
        <f>SUM(L8:L12)</f>
        <v>71500</v>
      </c>
    </row>
    <row r="14" spans="2:12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ht="25.5" customHeight="1" x14ac:dyDescent="0.3">
      <c r="B15" s="141" t="s">
        <v>93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</row>
    <row r="16" spans="2:12" ht="51.6" customHeight="1" x14ac:dyDescent="0.3">
      <c r="B16" s="23" t="s">
        <v>94</v>
      </c>
      <c r="C16" s="24" t="s">
        <v>95</v>
      </c>
      <c r="D16" s="13" t="s">
        <v>96</v>
      </c>
      <c r="E16" s="25">
        <v>30</v>
      </c>
      <c r="F16" s="26">
        <v>85000</v>
      </c>
      <c r="G16" s="27">
        <f t="shared" ref="G16:G24" si="0">E16*F16</f>
        <v>2550000</v>
      </c>
      <c r="H16" s="28">
        <v>2580000</v>
      </c>
      <c r="I16" s="28">
        <v>2600000</v>
      </c>
      <c r="J16" s="28">
        <v>2550000</v>
      </c>
      <c r="K16" s="29" t="s">
        <v>97</v>
      </c>
      <c r="L16" s="30">
        <f t="shared" ref="L16:L24" si="1">MAX(H16,I16,J16)-G16</f>
        <v>50000</v>
      </c>
    </row>
    <row r="17" spans="2:12" ht="47.4" customHeight="1" x14ac:dyDescent="0.3">
      <c r="B17" s="31" t="s">
        <v>98</v>
      </c>
      <c r="C17" s="32" t="s">
        <v>99</v>
      </c>
      <c r="D17" s="19" t="s">
        <v>100</v>
      </c>
      <c r="E17" s="33">
        <v>0.8</v>
      </c>
      <c r="F17" s="34">
        <v>650000</v>
      </c>
      <c r="G17" s="35">
        <f t="shared" si="0"/>
        <v>520000</v>
      </c>
      <c r="H17" s="36">
        <v>525000</v>
      </c>
      <c r="I17" s="36">
        <v>530000</v>
      </c>
      <c r="J17" s="36">
        <v>520000</v>
      </c>
      <c r="K17" s="29" t="s">
        <v>101</v>
      </c>
      <c r="L17" s="30">
        <f t="shared" si="1"/>
        <v>10000</v>
      </c>
    </row>
    <row r="18" spans="2:12" ht="40.799999999999997" customHeight="1" x14ac:dyDescent="0.3">
      <c r="B18" s="23" t="s">
        <v>102</v>
      </c>
      <c r="C18" s="24" t="s">
        <v>103</v>
      </c>
      <c r="D18" s="13" t="s">
        <v>100</v>
      </c>
      <c r="E18" s="25">
        <v>0.5</v>
      </c>
      <c r="F18" s="26">
        <v>650000</v>
      </c>
      <c r="G18" s="27">
        <f t="shared" si="0"/>
        <v>325000</v>
      </c>
      <c r="H18" s="28">
        <v>328000</v>
      </c>
      <c r="I18" s="28">
        <v>330000</v>
      </c>
      <c r="J18" s="28">
        <v>325000</v>
      </c>
      <c r="K18" s="29" t="s">
        <v>101</v>
      </c>
      <c r="L18" s="30">
        <f t="shared" si="1"/>
        <v>5000</v>
      </c>
    </row>
    <row r="19" spans="2:12" ht="42.6" customHeight="1" x14ac:dyDescent="0.3">
      <c r="B19" s="31" t="s">
        <v>104</v>
      </c>
      <c r="C19" s="32" t="s">
        <v>105</v>
      </c>
      <c r="D19" s="19" t="s">
        <v>82</v>
      </c>
      <c r="E19" s="33">
        <v>47</v>
      </c>
      <c r="F19" s="34">
        <v>55000</v>
      </c>
      <c r="G19" s="35">
        <f t="shared" si="0"/>
        <v>2585000</v>
      </c>
      <c r="H19" s="36">
        <v>2600000</v>
      </c>
      <c r="I19" s="36">
        <v>2650000</v>
      </c>
      <c r="J19" s="36">
        <v>2580000</v>
      </c>
      <c r="K19" s="29" t="s">
        <v>106</v>
      </c>
      <c r="L19" s="30">
        <f t="shared" si="1"/>
        <v>65000</v>
      </c>
    </row>
    <row r="20" spans="2:12" ht="42" customHeight="1" x14ac:dyDescent="0.3">
      <c r="B20" s="23" t="s">
        <v>107</v>
      </c>
      <c r="C20" s="24" t="s">
        <v>108</v>
      </c>
      <c r="D20" s="13" t="s">
        <v>109</v>
      </c>
      <c r="E20" s="25">
        <v>25</v>
      </c>
      <c r="F20" s="26">
        <v>2800</v>
      </c>
      <c r="G20" s="27">
        <f t="shared" si="0"/>
        <v>70000</v>
      </c>
      <c r="H20" s="28">
        <v>71000</v>
      </c>
      <c r="I20" s="28">
        <v>72000</v>
      </c>
      <c r="J20" s="28">
        <v>70000</v>
      </c>
      <c r="K20" s="29" t="s">
        <v>110</v>
      </c>
      <c r="L20" s="30">
        <f t="shared" si="1"/>
        <v>2000</v>
      </c>
    </row>
    <row r="21" spans="2:12" ht="47.4" customHeight="1" x14ac:dyDescent="0.3">
      <c r="B21" s="31" t="s">
        <v>111</v>
      </c>
      <c r="C21" s="32" t="s">
        <v>112</v>
      </c>
      <c r="D21" s="19" t="s">
        <v>78</v>
      </c>
      <c r="E21" s="33">
        <v>45</v>
      </c>
      <c r="F21" s="34">
        <v>4500</v>
      </c>
      <c r="G21" s="35">
        <f t="shared" si="0"/>
        <v>202500</v>
      </c>
      <c r="H21" s="36">
        <v>205000</v>
      </c>
      <c r="I21" s="36">
        <v>208000</v>
      </c>
      <c r="J21" s="36">
        <v>202000</v>
      </c>
      <c r="K21" s="29" t="s">
        <v>113</v>
      </c>
      <c r="L21" s="30">
        <f t="shared" si="1"/>
        <v>5500</v>
      </c>
    </row>
    <row r="22" spans="2:12" ht="45" customHeight="1" x14ac:dyDescent="0.3">
      <c r="B22" s="23" t="s">
        <v>114</v>
      </c>
      <c r="C22" s="24" t="s">
        <v>115</v>
      </c>
      <c r="D22" s="13" t="s">
        <v>109</v>
      </c>
      <c r="E22" s="25">
        <v>12</v>
      </c>
      <c r="F22" s="26">
        <v>18000</v>
      </c>
      <c r="G22" s="27">
        <f t="shared" si="0"/>
        <v>216000</v>
      </c>
      <c r="H22" s="28">
        <v>217000</v>
      </c>
      <c r="I22" s="28">
        <v>220000</v>
      </c>
      <c r="J22" s="28">
        <v>215000</v>
      </c>
      <c r="K22" s="29" t="s">
        <v>116</v>
      </c>
      <c r="L22" s="30">
        <f t="shared" si="1"/>
        <v>4000</v>
      </c>
    </row>
    <row r="23" spans="2:12" ht="45" customHeight="1" x14ac:dyDescent="0.3">
      <c r="B23" s="31" t="s">
        <v>117</v>
      </c>
      <c r="C23" s="32" t="s">
        <v>118</v>
      </c>
      <c r="D23" s="19" t="s">
        <v>82</v>
      </c>
      <c r="E23" s="33">
        <v>54</v>
      </c>
      <c r="F23" s="34">
        <v>6500</v>
      </c>
      <c r="G23" s="35">
        <f t="shared" si="0"/>
        <v>351000</v>
      </c>
      <c r="H23" s="36">
        <v>354000</v>
      </c>
      <c r="I23" s="36">
        <v>360000</v>
      </c>
      <c r="J23" s="36">
        <v>350000</v>
      </c>
      <c r="K23" s="29" t="s">
        <v>83</v>
      </c>
      <c r="L23" s="30">
        <f t="shared" si="1"/>
        <v>9000</v>
      </c>
    </row>
    <row r="24" spans="2:12" ht="53.4" customHeight="1" x14ac:dyDescent="0.3">
      <c r="B24" s="23" t="s">
        <v>119</v>
      </c>
      <c r="C24" s="24" t="s">
        <v>120</v>
      </c>
      <c r="D24" s="13" t="s">
        <v>78</v>
      </c>
      <c r="E24" s="25">
        <v>75</v>
      </c>
      <c r="F24" s="26">
        <v>3500</v>
      </c>
      <c r="G24" s="27">
        <f t="shared" si="0"/>
        <v>262500</v>
      </c>
      <c r="H24" s="28">
        <v>264000</v>
      </c>
      <c r="I24" s="28">
        <v>268000</v>
      </c>
      <c r="J24" s="28">
        <v>260000</v>
      </c>
      <c r="K24" s="29" t="s">
        <v>121</v>
      </c>
      <c r="L24" s="30">
        <f t="shared" si="1"/>
        <v>5500</v>
      </c>
    </row>
    <row r="25" spans="2:12" ht="21.75" customHeight="1" x14ac:dyDescent="0.3">
      <c r="B25" s="4" t="s">
        <v>122</v>
      </c>
      <c r="C25" s="37"/>
      <c r="D25" s="37"/>
      <c r="E25" s="37"/>
      <c r="F25" s="37"/>
      <c r="G25" s="38">
        <f>SUM(G16:G24)</f>
        <v>7082000</v>
      </c>
      <c r="H25" s="37"/>
      <c r="I25" s="37"/>
      <c r="J25" s="37"/>
      <c r="K25" s="37"/>
      <c r="L25" s="39">
        <f>SUM(L16:L24)</f>
        <v>156000</v>
      </c>
    </row>
    <row r="26" spans="2:12" x14ac:dyDescent="0.3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2:12" ht="25.5" customHeight="1" x14ac:dyDescent="0.3">
      <c r="B27" s="141" t="s">
        <v>123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</row>
    <row r="28" spans="2:12" ht="21.75" customHeight="1" x14ac:dyDescent="0.3">
      <c r="B28" s="23" t="s">
        <v>124</v>
      </c>
      <c r="C28" s="24" t="s">
        <v>125</v>
      </c>
      <c r="D28" s="13" t="s">
        <v>126</v>
      </c>
      <c r="E28" s="25">
        <v>4200</v>
      </c>
      <c r="F28" s="26">
        <v>380</v>
      </c>
      <c r="G28" s="27">
        <f t="shared" ref="G28:G45" si="2">E28*F28</f>
        <v>1596000</v>
      </c>
      <c r="H28" s="28">
        <v>1600000</v>
      </c>
      <c r="I28" s="28">
        <v>1620000</v>
      </c>
      <c r="J28" s="28">
        <v>1590000</v>
      </c>
      <c r="K28" s="29" t="s">
        <v>121</v>
      </c>
      <c r="L28" s="30">
        <f t="shared" ref="L28:L45" si="3">MAX(H28,I28,J28)-G28</f>
        <v>24000</v>
      </c>
    </row>
    <row r="29" spans="2:12" ht="21.75" customHeight="1" x14ac:dyDescent="0.3">
      <c r="B29" s="31" t="s">
        <v>127</v>
      </c>
      <c r="C29" s="32" t="s">
        <v>128</v>
      </c>
      <c r="D29" s="19" t="s">
        <v>126</v>
      </c>
      <c r="E29" s="33">
        <v>3500</v>
      </c>
      <c r="F29" s="34">
        <v>320</v>
      </c>
      <c r="G29" s="35">
        <f t="shared" si="2"/>
        <v>1120000</v>
      </c>
      <c r="H29" s="36">
        <v>1125000</v>
      </c>
      <c r="I29" s="36">
        <v>1130000</v>
      </c>
      <c r="J29" s="36">
        <v>1120000</v>
      </c>
      <c r="K29" s="29" t="s">
        <v>121</v>
      </c>
      <c r="L29" s="30">
        <f t="shared" si="3"/>
        <v>10000</v>
      </c>
    </row>
    <row r="30" spans="2:12" ht="21.75" customHeight="1" x14ac:dyDescent="0.3">
      <c r="B30" s="23" t="s">
        <v>129</v>
      </c>
      <c r="C30" s="24" t="s">
        <v>130</v>
      </c>
      <c r="D30" s="13" t="s">
        <v>126</v>
      </c>
      <c r="E30" s="25">
        <v>2800</v>
      </c>
      <c r="F30" s="26">
        <v>310</v>
      </c>
      <c r="G30" s="27">
        <f t="shared" si="2"/>
        <v>868000</v>
      </c>
      <c r="H30" s="28">
        <v>870000</v>
      </c>
      <c r="I30" s="28">
        <v>875000</v>
      </c>
      <c r="J30" s="28">
        <v>865000</v>
      </c>
      <c r="K30" s="29" t="s">
        <v>121</v>
      </c>
      <c r="L30" s="30">
        <f t="shared" si="3"/>
        <v>7000</v>
      </c>
    </row>
    <row r="31" spans="2:12" ht="40.200000000000003" customHeight="1" x14ac:dyDescent="0.3">
      <c r="B31" s="31" t="s">
        <v>131</v>
      </c>
      <c r="C31" s="32" t="s">
        <v>132</v>
      </c>
      <c r="D31" s="19" t="s">
        <v>133</v>
      </c>
      <c r="E31" s="33">
        <v>650</v>
      </c>
      <c r="F31" s="34">
        <v>7200</v>
      </c>
      <c r="G31" s="35">
        <f t="shared" si="2"/>
        <v>4680000</v>
      </c>
      <c r="H31" s="36">
        <v>4700000</v>
      </c>
      <c r="I31" s="36">
        <v>4750000</v>
      </c>
      <c r="J31" s="36">
        <v>4680000</v>
      </c>
      <c r="K31" s="29" t="s">
        <v>134</v>
      </c>
      <c r="L31" s="30">
        <f t="shared" si="3"/>
        <v>70000</v>
      </c>
    </row>
    <row r="32" spans="2:12" ht="21.75" customHeight="1" x14ac:dyDescent="0.3">
      <c r="B32" s="23" t="s">
        <v>135</v>
      </c>
      <c r="C32" s="24" t="s">
        <v>136</v>
      </c>
      <c r="D32" s="13" t="s">
        <v>137</v>
      </c>
      <c r="E32" s="25">
        <v>35</v>
      </c>
      <c r="F32" s="26">
        <v>45000</v>
      </c>
      <c r="G32" s="27">
        <f t="shared" si="2"/>
        <v>1575000</v>
      </c>
      <c r="H32" s="28">
        <v>1580000</v>
      </c>
      <c r="I32" s="28">
        <v>1600000</v>
      </c>
      <c r="J32" s="28">
        <v>1570000</v>
      </c>
      <c r="K32" s="29" t="s">
        <v>138</v>
      </c>
      <c r="L32" s="30">
        <f t="shared" si="3"/>
        <v>25000</v>
      </c>
    </row>
    <row r="33" spans="2:12" ht="21.75" customHeight="1" x14ac:dyDescent="0.3">
      <c r="B33" s="31" t="s">
        <v>139</v>
      </c>
      <c r="C33" s="32" t="s">
        <v>140</v>
      </c>
      <c r="D33" s="19" t="s">
        <v>137</v>
      </c>
      <c r="E33" s="33">
        <v>20</v>
      </c>
      <c r="F33" s="34">
        <v>55000</v>
      </c>
      <c r="G33" s="35">
        <f t="shared" si="2"/>
        <v>1100000</v>
      </c>
      <c r="H33" s="36">
        <v>1105000</v>
      </c>
      <c r="I33" s="36">
        <v>1110000</v>
      </c>
      <c r="J33" s="36">
        <v>1100000</v>
      </c>
      <c r="K33" s="29" t="s">
        <v>141</v>
      </c>
      <c r="L33" s="30">
        <f t="shared" si="3"/>
        <v>10000</v>
      </c>
    </row>
    <row r="34" spans="2:12" ht="21.75" customHeight="1" x14ac:dyDescent="0.3">
      <c r="B34" s="23" t="s">
        <v>142</v>
      </c>
      <c r="C34" s="24" t="s">
        <v>143</v>
      </c>
      <c r="D34" s="13" t="s">
        <v>100</v>
      </c>
      <c r="E34" s="25">
        <v>3.5</v>
      </c>
      <c r="F34" s="26">
        <v>650000</v>
      </c>
      <c r="G34" s="27">
        <f t="shared" si="2"/>
        <v>2275000</v>
      </c>
      <c r="H34" s="28">
        <v>2285000</v>
      </c>
      <c r="I34" s="28">
        <v>2290000</v>
      </c>
      <c r="J34" s="28">
        <v>2275000</v>
      </c>
      <c r="K34" s="29" t="s">
        <v>101</v>
      </c>
      <c r="L34" s="30">
        <f t="shared" si="3"/>
        <v>15000</v>
      </c>
    </row>
    <row r="35" spans="2:12" ht="21.75" customHeight="1" x14ac:dyDescent="0.3">
      <c r="B35" s="31" t="s">
        <v>144</v>
      </c>
      <c r="C35" s="32" t="s">
        <v>145</v>
      </c>
      <c r="D35" s="19" t="s">
        <v>100</v>
      </c>
      <c r="E35" s="33">
        <v>2</v>
      </c>
      <c r="F35" s="34">
        <v>650000</v>
      </c>
      <c r="G35" s="35">
        <f t="shared" si="2"/>
        <v>1300000</v>
      </c>
      <c r="H35" s="36">
        <v>1305000</v>
      </c>
      <c r="I35" s="36">
        <v>1310000</v>
      </c>
      <c r="J35" s="36">
        <v>1300000</v>
      </c>
      <c r="K35" s="29" t="s">
        <v>101</v>
      </c>
      <c r="L35" s="30">
        <f t="shared" si="3"/>
        <v>10000</v>
      </c>
    </row>
    <row r="36" spans="2:12" ht="21.75" customHeight="1" x14ac:dyDescent="0.3">
      <c r="B36" s="23" t="s">
        <v>146</v>
      </c>
      <c r="C36" s="24" t="s">
        <v>147</v>
      </c>
      <c r="D36" s="13" t="s">
        <v>100</v>
      </c>
      <c r="E36" s="25">
        <v>1</v>
      </c>
      <c r="F36" s="26">
        <v>650000</v>
      </c>
      <c r="G36" s="27">
        <f t="shared" si="2"/>
        <v>650000</v>
      </c>
      <c r="H36" s="28">
        <v>653000</v>
      </c>
      <c r="I36" s="28">
        <v>658000</v>
      </c>
      <c r="J36" s="28">
        <v>648000</v>
      </c>
      <c r="K36" s="29" t="s">
        <v>101</v>
      </c>
      <c r="L36" s="30">
        <f t="shared" si="3"/>
        <v>8000</v>
      </c>
    </row>
    <row r="37" spans="2:12" ht="21.75" customHeight="1" x14ac:dyDescent="0.3">
      <c r="B37" s="31" t="s">
        <v>148</v>
      </c>
      <c r="C37" s="32" t="s">
        <v>149</v>
      </c>
      <c r="D37" s="19" t="s">
        <v>100</v>
      </c>
      <c r="E37" s="33">
        <v>0.8</v>
      </c>
      <c r="F37" s="34">
        <v>650000</v>
      </c>
      <c r="G37" s="35">
        <f t="shared" si="2"/>
        <v>520000</v>
      </c>
      <c r="H37" s="36">
        <v>523000</v>
      </c>
      <c r="I37" s="36">
        <v>526000</v>
      </c>
      <c r="J37" s="36">
        <v>520000</v>
      </c>
      <c r="K37" s="29" t="s">
        <v>101</v>
      </c>
      <c r="L37" s="30">
        <f t="shared" si="3"/>
        <v>6000</v>
      </c>
    </row>
    <row r="38" spans="2:12" ht="21.75" customHeight="1" x14ac:dyDescent="0.3">
      <c r="B38" s="23" t="s">
        <v>150</v>
      </c>
      <c r="C38" s="24" t="s">
        <v>151</v>
      </c>
      <c r="D38" s="13" t="s">
        <v>152</v>
      </c>
      <c r="E38" s="25">
        <v>50</v>
      </c>
      <c r="F38" s="26">
        <v>2800</v>
      </c>
      <c r="G38" s="27">
        <f t="shared" si="2"/>
        <v>140000</v>
      </c>
      <c r="H38" s="28">
        <v>141000</v>
      </c>
      <c r="I38" s="28">
        <v>143000</v>
      </c>
      <c r="J38" s="28">
        <v>140000</v>
      </c>
      <c r="K38" s="29" t="s">
        <v>110</v>
      </c>
      <c r="L38" s="30">
        <f t="shared" si="3"/>
        <v>3000</v>
      </c>
    </row>
    <row r="39" spans="2:12" ht="21.75" customHeight="1" x14ac:dyDescent="0.3">
      <c r="B39" s="31" t="s">
        <v>153</v>
      </c>
      <c r="C39" s="32" t="s">
        <v>154</v>
      </c>
      <c r="D39" s="19" t="s">
        <v>155</v>
      </c>
      <c r="E39" s="33">
        <v>200</v>
      </c>
      <c r="F39" s="34">
        <v>3500</v>
      </c>
      <c r="G39" s="35">
        <f t="shared" si="2"/>
        <v>700000</v>
      </c>
      <c r="H39" s="36">
        <v>703000</v>
      </c>
      <c r="I39" s="36">
        <v>708000</v>
      </c>
      <c r="J39" s="36">
        <v>698000</v>
      </c>
      <c r="K39" s="29" t="s">
        <v>113</v>
      </c>
      <c r="L39" s="30">
        <f t="shared" si="3"/>
        <v>8000</v>
      </c>
    </row>
    <row r="40" spans="2:12" ht="21.75" customHeight="1" x14ac:dyDescent="0.3">
      <c r="B40" s="23" t="s">
        <v>156</v>
      </c>
      <c r="C40" s="24" t="s">
        <v>157</v>
      </c>
      <c r="D40" s="13" t="s">
        <v>96</v>
      </c>
      <c r="E40" s="25">
        <v>60</v>
      </c>
      <c r="F40" s="26">
        <v>18000</v>
      </c>
      <c r="G40" s="27">
        <f t="shared" si="2"/>
        <v>1080000</v>
      </c>
      <c r="H40" s="28">
        <v>1082000</v>
      </c>
      <c r="I40" s="28">
        <v>1090000</v>
      </c>
      <c r="J40" s="28">
        <v>1078000</v>
      </c>
      <c r="K40" s="29" t="s">
        <v>116</v>
      </c>
      <c r="L40" s="30">
        <f t="shared" si="3"/>
        <v>10000</v>
      </c>
    </row>
    <row r="41" spans="2:12" ht="21.75" customHeight="1" x14ac:dyDescent="0.3">
      <c r="B41" s="31" t="s">
        <v>158</v>
      </c>
      <c r="C41" s="32" t="s">
        <v>159</v>
      </c>
      <c r="D41" s="19" t="s">
        <v>82</v>
      </c>
      <c r="E41" s="33">
        <v>22.5</v>
      </c>
      <c r="F41" s="34">
        <v>55000</v>
      </c>
      <c r="G41" s="35">
        <f t="shared" si="2"/>
        <v>1237500</v>
      </c>
      <c r="H41" s="36">
        <v>1240000</v>
      </c>
      <c r="I41" s="36">
        <v>1250000</v>
      </c>
      <c r="J41" s="36">
        <v>1235000</v>
      </c>
      <c r="K41" s="29" t="s">
        <v>106</v>
      </c>
      <c r="L41" s="30">
        <f t="shared" si="3"/>
        <v>12500</v>
      </c>
    </row>
    <row r="42" spans="2:12" ht="21.75" customHeight="1" x14ac:dyDescent="0.3">
      <c r="B42" s="23" t="s">
        <v>160</v>
      </c>
      <c r="C42" s="24" t="s">
        <v>161</v>
      </c>
      <c r="D42" s="13" t="s">
        <v>82</v>
      </c>
      <c r="E42" s="25">
        <v>22.5</v>
      </c>
      <c r="F42" s="26">
        <v>55000</v>
      </c>
      <c r="G42" s="27">
        <f t="shared" si="2"/>
        <v>1237500</v>
      </c>
      <c r="H42" s="28">
        <v>1240000</v>
      </c>
      <c r="I42" s="28">
        <v>1250000</v>
      </c>
      <c r="J42" s="28">
        <v>1235000</v>
      </c>
      <c r="K42" s="29" t="s">
        <v>106</v>
      </c>
      <c r="L42" s="30">
        <f t="shared" si="3"/>
        <v>12500</v>
      </c>
    </row>
    <row r="43" spans="2:12" ht="21.75" customHeight="1" x14ac:dyDescent="0.3">
      <c r="B43" s="31" t="s">
        <v>162</v>
      </c>
      <c r="C43" s="32" t="s">
        <v>163</v>
      </c>
      <c r="D43" s="19" t="s">
        <v>155</v>
      </c>
      <c r="E43" s="33">
        <v>120</v>
      </c>
      <c r="F43" s="34">
        <v>2500</v>
      </c>
      <c r="G43" s="35">
        <f t="shared" si="2"/>
        <v>300000</v>
      </c>
      <c r="H43" s="36">
        <v>302000</v>
      </c>
      <c r="I43" s="36">
        <v>305000</v>
      </c>
      <c r="J43" s="36">
        <v>299000</v>
      </c>
      <c r="K43" s="29" t="s">
        <v>121</v>
      </c>
      <c r="L43" s="30">
        <f t="shared" si="3"/>
        <v>5000</v>
      </c>
    </row>
    <row r="44" spans="2:12" ht="21.75" customHeight="1" x14ac:dyDescent="0.3">
      <c r="B44" s="23" t="s">
        <v>164</v>
      </c>
      <c r="C44" s="24" t="s">
        <v>165</v>
      </c>
      <c r="D44" s="13" t="s">
        <v>82</v>
      </c>
      <c r="E44" s="25">
        <v>8</v>
      </c>
      <c r="F44" s="26">
        <v>55000</v>
      </c>
      <c r="G44" s="27">
        <f t="shared" si="2"/>
        <v>440000</v>
      </c>
      <c r="H44" s="28">
        <v>443000</v>
      </c>
      <c r="I44" s="28">
        <v>445000</v>
      </c>
      <c r="J44" s="28">
        <v>440000</v>
      </c>
      <c r="K44" s="29" t="s">
        <v>106</v>
      </c>
      <c r="L44" s="30">
        <f t="shared" si="3"/>
        <v>5000</v>
      </c>
    </row>
    <row r="45" spans="2:12" ht="21.75" customHeight="1" x14ac:dyDescent="0.3">
      <c r="B45" s="31" t="s">
        <v>166</v>
      </c>
      <c r="C45" s="32" t="s">
        <v>167</v>
      </c>
      <c r="D45" s="19" t="s">
        <v>155</v>
      </c>
      <c r="E45" s="33">
        <v>30</v>
      </c>
      <c r="F45" s="34">
        <v>12000</v>
      </c>
      <c r="G45" s="35">
        <f t="shared" si="2"/>
        <v>360000</v>
      </c>
      <c r="H45" s="36">
        <v>361000</v>
      </c>
      <c r="I45" s="36">
        <v>365000</v>
      </c>
      <c r="J45" s="36">
        <v>358000</v>
      </c>
      <c r="K45" s="29" t="s">
        <v>116</v>
      </c>
      <c r="L45" s="30">
        <f t="shared" si="3"/>
        <v>5000</v>
      </c>
    </row>
    <row r="46" spans="2:12" ht="21.75" customHeight="1" x14ac:dyDescent="0.3">
      <c r="B46" s="4" t="s">
        <v>168</v>
      </c>
      <c r="C46" s="37"/>
      <c r="D46" s="37"/>
      <c r="E46" s="37"/>
      <c r="F46" s="37"/>
      <c r="G46" s="38">
        <f>SUM(G28:G45)</f>
        <v>21179000</v>
      </c>
      <c r="H46" s="37"/>
      <c r="I46" s="37"/>
      <c r="J46" s="37"/>
      <c r="K46" s="37"/>
      <c r="L46" s="39">
        <f>SUM(L28:L45)</f>
        <v>246000</v>
      </c>
    </row>
    <row r="47" spans="2:12" x14ac:dyDescent="0.3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2:12" ht="25.5" customHeight="1" x14ac:dyDescent="0.3">
      <c r="B48" s="141" t="s">
        <v>169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</row>
    <row r="49" spans="2:12" ht="21.75" customHeight="1" x14ac:dyDescent="0.3">
      <c r="B49" s="31" t="s">
        <v>170</v>
      </c>
      <c r="C49" s="32" t="s">
        <v>171</v>
      </c>
      <c r="D49" s="19" t="s">
        <v>155</v>
      </c>
      <c r="E49" s="33">
        <v>100</v>
      </c>
      <c r="F49" s="34">
        <v>3500</v>
      </c>
      <c r="G49" s="35">
        <f t="shared" ref="G49:G58" si="4">E49*F49</f>
        <v>350000</v>
      </c>
      <c r="H49" s="36">
        <v>350000</v>
      </c>
      <c r="I49" s="36">
        <v>355000</v>
      </c>
      <c r="J49" s="36">
        <v>345000</v>
      </c>
      <c r="K49" s="29" t="s">
        <v>113</v>
      </c>
      <c r="L49" s="30">
        <f t="shared" ref="L49:L58" si="5">MAX(H49,I49,J49)-G49</f>
        <v>5000</v>
      </c>
    </row>
    <row r="50" spans="2:12" ht="21.75" customHeight="1" x14ac:dyDescent="0.3">
      <c r="B50" s="23" t="s">
        <v>172</v>
      </c>
      <c r="C50" s="24" t="s">
        <v>173</v>
      </c>
      <c r="D50" s="13" t="s">
        <v>155</v>
      </c>
      <c r="E50" s="25">
        <v>200</v>
      </c>
      <c r="F50" s="26">
        <v>2200</v>
      </c>
      <c r="G50" s="27">
        <f t="shared" si="4"/>
        <v>440000</v>
      </c>
      <c r="H50" s="28">
        <v>443000</v>
      </c>
      <c r="I50" s="28">
        <v>448000</v>
      </c>
      <c r="J50" s="28">
        <v>440000</v>
      </c>
      <c r="K50" s="29" t="s">
        <v>113</v>
      </c>
      <c r="L50" s="30">
        <f t="shared" si="5"/>
        <v>8000</v>
      </c>
    </row>
    <row r="51" spans="2:12" ht="21.75" customHeight="1" x14ac:dyDescent="0.3">
      <c r="B51" s="31" t="s">
        <v>174</v>
      </c>
      <c r="C51" s="32" t="s">
        <v>175</v>
      </c>
      <c r="D51" s="19" t="s">
        <v>78</v>
      </c>
      <c r="E51" s="33">
        <v>280</v>
      </c>
      <c r="F51" s="34">
        <v>3800</v>
      </c>
      <c r="G51" s="35">
        <f t="shared" si="4"/>
        <v>1064000</v>
      </c>
      <c r="H51" s="36">
        <v>1065000</v>
      </c>
      <c r="I51" s="36">
        <v>1070000</v>
      </c>
      <c r="J51" s="36">
        <v>1060000</v>
      </c>
      <c r="K51" s="29" t="s">
        <v>176</v>
      </c>
      <c r="L51" s="30">
        <f t="shared" si="5"/>
        <v>6000</v>
      </c>
    </row>
    <row r="52" spans="2:12" ht="21.75" customHeight="1" x14ac:dyDescent="0.3">
      <c r="B52" s="23" t="s">
        <v>177</v>
      </c>
      <c r="C52" s="24" t="s">
        <v>178</v>
      </c>
      <c r="D52" s="13" t="s">
        <v>179</v>
      </c>
      <c r="E52" s="25">
        <v>25</v>
      </c>
      <c r="F52" s="26">
        <v>4500</v>
      </c>
      <c r="G52" s="27">
        <f t="shared" si="4"/>
        <v>112500</v>
      </c>
      <c r="H52" s="28">
        <v>113000</v>
      </c>
      <c r="I52" s="28">
        <v>115000</v>
      </c>
      <c r="J52" s="28">
        <v>111000</v>
      </c>
      <c r="K52" s="29" t="s">
        <v>176</v>
      </c>
      <c r="L52" s="30">
        <f t="shared" si="5"/>
        <v>2500</v>
      </c>
    </row>
    <row r="53" spans="2:12" ht="21.75" customHeight="1" x14ac:dyDescent="0.3">
      <c r="B53" s="31" t="s">
        <v>180</v>
      </c>
      <c r="C53" s="32" t="s">
        <v>181</v>
      </c>
      <c r="D53" s="19" t="s">
        <v>179</v>
      </c>
      <c r="E53" s="33">
        <v>60</v>
      </c>
      <c r="F53" s="34">
        <v>3200</v>
      </c>
      <c r="G53" s="35">
        <f t="shared" si="4"/>
        <v>192000</v>
      </c>
      <c r="H53" s="36">
        <v>193000</v>
      </c>
      <c r="I53" s="36">
        <v>195000</v>
      </c>
      <c r="J53" s="36">
        <v>191000</v>
      </c>
      <c r="K53" s="29" t="s">
        <v>176</v>
      </c>
      <c r="L53" s="30">
        <f t="shared" si="5"/>
        <v>3000</v>
      </c>
    </row>
    <row r="54" spans="2:12" ht="21.75" customHeight="1" x14ac:dyDescent="0.3">
      <c r="B54" s="23" t="s">
        <v>182</v>
      </c>
      <c r="C54" s="24" t="s">
        <v>183</v>
      </c>
      <c r="D54" s="13" t="s">
        <v>179</v>
      </c>
      <c r="E54" s="25">
        <v>50</v>
      </c>
      <c r="F54" s="26">
        <v>4200</v>
      </c>
      <c r="G54" s="27">
        <f t="shared" si="4"/>
        <v>210000</v>
      </c>
      <c r="H54" s="28">
        <v>211000</v>
      </c>
      <c r="I54" s="28">
        <v>213000</v>
      </c>
      <c r="J54" s="28">
        <v>209000</v>
      </c>
      <c r="K54" s="29" t="s">
        <v>184</v>
      </c>
      <c r="L54" s="30">
        <f t="shared" si="5"/>
        <v>3000</v>
      </c>
    </row>
    <row r="55" spans="2:12" ht="21.75" customHeight="1" x14ac:dyDescent="0.3">
      <c r="B55" s="31" t="s">
        <v>185</v>
      </c>
      <c r="C55" s="32" t="s">
        <v>186</v>
      </c>
      <c r="D55" s="19" t="s">
        <v>179</v>
      </c>
      <c r="E55" s="33">
        <v>24</v>
      </c>
      <c r="F55" s="34">
        <v>3500</v>
      </c>
      <c r="G55" s="35">
        <f t="shared" si="4"/>
        <v>84000</v>
      </c>
      <c r="H55" s="36">
        <v>85000</v>
      </c>
      <c r="I55" s="36">
        <v>87000</v>
      </c>
      <c r="J55" s="36">
        <v>83000</v>
      </c>
      <c r="K55" s="29" t="s">
        <v>184</v>
      </c>
      <c r="L55" s="30">
        <f t="shared" si="5"/>
        <v>3000</v>
      </c>
    </row>
    <row r="56" spans="2:12" ht="21.75" customHeight="1" x14ac:dyDescent="0.3">
      <c r="B56" s="23" t="s">
        <v>187</v>
      </c>
      <c r="C56" s="24" t="s">
        <v>188</v>
      </c>
      <c r="D56" s="13" t="s">
        <v>189</v>
      </c>
      <c r="E56" s="25">
        <v>30</v>
      </c>
      <c r="F56" s="26">
        <v>1500</v>
      </c>
      <c r="G56" s="27">
        <f t="shared" si="4"/>
        <v>45000</v>
      </c>
      <c r="H56" s="28">
        <v>46000</v>
      </c>
      <c r="I56" s="28">
        <v>47000</v>
      </c>
      <c r="J56" s="28">
        <v>45000</v>
      </c>
      <c r="K56" s="29" t="s">
        <v>110</v>
      </c>
      <c r="L56" s="30">
        <f t="shared" si="5"/>
        <v>2000</v>
      </c>
    </row>
    <row r="57" spans="2:12" ht="21.75" customHeight="1" x14ac:dyDescent="0.3">
      <c r="B57" s="31" t="s">
        <v>190</v>
      </c>
      <c r="C57" s="32" t="s">
        <v>191</v>
      </c>
      <c r="D57" s="19" t="s">
        <v>78</v>
      </c>
      <c r="E57" s="33">
        <v>280</v>
      </c>
      <c r="F57" s="34">
        <v>2800</v>
      </c>
      <c r="G57" s="35">
        <f t="shared" si="4"/>
        <v>784000</v>
      </c>
      <c r="H57" s="36">
        <v>786000</v>
      </c>
      <c r="I57" s="36">
        <v>790000</v>
      </c>
      <c r="J57" s="36">
        <v>782000</v>
      </c>
      <c r="K57" s="29" t="s">
        <v>116</v>
      </c>
      <c r="L57" s="30">
        <f t="shared" si="5"/>
        <v>6000</v>
      </c>
    </row>
    <row r="58" spans="2:12" ht="21.75" customHeight="1" x14ac:dyDescent="0.3">
      <c r="B58" s="23" t="s">
        <v>192</v>
      </c>
      <c r="C58" s="24" t="s">
        <v>193</v>
      </c>
      <c r="D58" s="13" t="s">
        <v>78</v>
      </c>
      <c r="E58" s="25">
        <v>60</v>
      </c>
      <c r="F58" s="26">
        <v>3500</v>
      </c>
      <c r="G58" s="27">
        <f t="shared" si="4"/>
        <v>210000</v>
      </c>
      <c r="H58" s="28">
        <v>211000</v>
      </c>
      <c r="I58" s="28">
        <v>213000</v>
      </c>
      <c r="J58" s="28">
        <v>209000</v>
      </c>
      <c r="K58" s="29" t="s">
        <v>116</v>
      </c>
      <c r="L58" s="30">
        <f t="shared" si="5"/>
        <v>3000</v>
      </c>
    </row>
    <row r="59" spans="2:12" ht="21.75" customHeight="1" x14ac:dyDescent="0.3">
      <c r="B59" s="4" t="s">
        <v>194</v>
      </c>
      <c r="C59" s="37"/>
      <c r="D59" s="37"/>
      <c r="E59" s="37"/>
      <c r="F59" s="37"/>
      <c r="G59" s="38">
        <f>SUM(G49:G58)</f>
        <v>3491500</v>
      </c>
      <c r="H59" s="37"/>
      <c r="I59" s="37"/>
      <c r="J59" s="37"/>
      <c r="K59" s="37"/>
      <c r="L59" s="39">
        <f>SUM(L49:L58)</f>
        <v>41500</v>
      </c>
    </row>
    <row r="60" spans="2:12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2:12" ht="25.5" customHeight="1" x14ac:dyDescent="0.3">
      <c r="B61" s="141" t="s">
        <v>195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2:12" ht="21.75" customHeight="1" x14ac:dyDescent="0.3">
      <c r="B62" s="23" t="s">
        <v>196</v>
      </c>
      <c r="C62" s="24" t="s">
        <v>197</v>
      </c>
      <c r="D62" s="13" t="s">
        <v>198</v>
      </c>
      <c r="E62" s="25">
        <v>12</v>
      </c>
      <c r="F62" s="26">
        <v>85000</v>
      </c>
      <c r="G62" s="27">
        <f t="shared" ref="G62:G71" si="6">E62*F62</f>
        <v>1020000</v>
      </c>
      <c r="H62" s="28">
        <v>1022000</v>
      </c>
      <c r="I62" s="28">
        <v>1025000</v>
      </c>
      <c r="J62" s="28">
        <v>1018000</v>
      </c>
      <c r="K62" s="29" t="s">
        <v>199</v>
      </c>
      <c r="L62" s="30">
        <f t="shared" ref="L62:L71" si="7">MAX(H62,I62,J62)-G62</f>
        <v>5000</v>
      </c>
    </row>
    <row r="63" spans="2:12" ht="21.75" customHeight="1" x14ac:dyDescent="0.3">
      <c r="B63" s="31" t="s">
        <v>200</v>
      </c>
      <c r="C63" s="32" t="s">
        <v>201</v>
      </c>
      <c r="D63" s="19" t="s">
        <v>198</v>
      </c>
      <c r="E63" s="33">
        <v>8</v>
      </c>
      <c r="F63" s="34">
        <v>65000</v>
      </c>
      <c r="G63" s="35">
        <f t="shared" si="6"/>
        <v>520000</v>
      </c>
      <c r="H63" s="36">
        <v>522000</v>
      </c>
      <c r="I63" s="36">
        <v>525000</v>
      </c>
      <c r="J63" s="36">
        <v>519000</v>
      </c>
      <c r="K63" s="29" t="s">
        <v>199</v>
      </c>
      <c r="L63" s="30">
        <f t="shared" si="7"/>
        <v>5000</v>
      </c>
    </row>
    <row r="64" spans="2:12" ht="21.75" customHeight="1" x14ac:dyDescent="0.3">
      <c r="B64" s="23" t="s">
        <v>202</v>
      </c>
      <c r="C64" s="24" t="s">
        <v>203</v>
      </c>
      <c r="D64" s="13" t="s">
        <v>198</v>
      </c>
      <c r="E64" s="25">
        <v>1</v>
      </c>
      <c r="F64" s="26">
        <v>380000</v>
      </c>
      <c r="G64" s="27">
        <f t="shared" si="6"/>
        <v>380000</v>
      </c>
      <c r="H64" s="28">
        <v>382000</v>
      </c>
      <c r="I64" s="28">
        <v>385000</v>
      </c>
      <c r="J64" s="28">
        <v>378000</v>
      </c>
      <c r="K64" s="29" t="s">
        <v>204</v>
      </c>
      <c r="L64" s="30">
        <f t="shared" si="7"/>
        <v>5000</v>
      </c>
    </row>
    <row r="65" spans="2:12" ht="21.75" customHeight="1" x14ac:dyDescent="0.3">
      <c r="B65" s="31" t="s">
        <v>205</v>
      </c>
      <c r="C65" s="32" t="s">
        <v>206</v>
      </c>
      <c r="D65" s="19" t="s">
        <v>198</v>
      </c>
      <c r="E65" s="33">
        <v>1</v>
      </c>
      <c r="F65" s="34">
        <v>280000</v>
      </c>
      <c r="G65" s="35">
        <f t="shared" si="6"/>
        <v>280000</v>
      </c>
      <c r="H65" s="36">
        <v>282000</v>
      </c>
      <c r="I65" s="36">
        <v>285000</v>
      </c>
      <c r="J65" s="36">
        <v>278000</v>
      </c>
      <c r="K65" s="29" t="s">
        <v>204</v>
      </c>
      <c r="L65" s="30">
        <f t="shared" si="7"/>
        <v>5000</v>
      </c>
    </row>
    <row r="66" spans="2:12" ht="21.75" customHeight="1" x14ac:dyDescent="0.3">
      <c r="B66" s="23" t="s">
        <v>207</v>
      </c>
      <c r="C66" s="24" t="s">
        <v>208</v>
      </c>
      <c r="D66" s="13" t="s">
        <v>198</v>
      </c>
      <c r="E66" s="25">
        <v>9</v>
      </c>
      <c r="F66" s="26">
        <v>65000</v>
      </c>
      <c r="G66" s="27">
        <f t="shared" si="6"/>
        <v>585000</v>
      </c>
      <c r="H66" s="28">
        <v>587000</v>
      </c>
      <c r="I66" s="28">
        <v>590000</v>
      </c>
      <c r="J66" s="28">
        <v>583000</v>
      </c>
      <c r="K66" s="29" t="s">
        <v>209</v>
      </c>
      <c r="L66" s="30">
        <f t="shared" si="7"/>
        <v>5000</v>
      </c>
    </row>
    <row r="67" spans="2:12" ht="21.75" customHeight="1" x14ac:dyDescent="0.3">
      <c r="B67" s="31" t="s">
        <v>210</v>
      </c>
      <c r="C67" s="32" t="s">
        <v>211</v>
      </c>
      <c r="D67" s="19" t="s">
        <v>198</v>
      </c>
      <c r="E67" s="33">
        <v>3</v>
      </c>
      <c r="F67" s="34">
        <v>55000</v>
      </c>
      <c r="G67" s="35">
        <f t="shared" si="6"/>
        <v>165000</v>
      </c>
      <c r="H67" s="36">
        <v>166000</v>
      </c>
      <c r="I67" s="36">
        <v>168000</v>
      </c>
      <c r="J67" s="36">
        <v>164000</v>
      </c>
      <c r="K67" s="29" t="s">
        <v>209</v>
      </c>
      <c r="L67" s="30">
        <f t="shared" si="7"/>
        <v>3000</v>
      </c>
    </row>
    <row r="68" spans="2:12" ht="21.75" customHeight="1" x14ac:dyDescent="0.3">
      <c r="B68" s="23" t="s">
        <v>212</v>
      </c>
      <c r="C68" s="24" t="s">
        <v>213</v>
      </c>
      <c r="D68" s="13" t="s">
        <v>198</v>
      </c>
      <c r="E68" s="25">
        <v>14</v>
      </c>
      <c r="F68" s="26">
        <v>18000</v>
      </c>
      <c r="G68" s="27">
        <f t="shared" si="6"/>
        <v>252000</v>
      </c>
      <c r="H68" s="28">
        <v>253000</v>
      </c>
      <c r="I68" s="28">
        <v>255000</v>
      </c>
      <c r="J68" s="28">
        <v>251000</v>
      </c>
      <c r="K68" s="29" t="s">
        <v>209</v>
      </c>
      <c r="L68" s="30">
        <f t="shared" si="7"/>
        <v>3000</v>
      </c>
    </row>
    <row r="69" spans="2:12" ht="21.75" customHeight="1" x14ac:dyDescent="0.3">
      <c r="B69" s="31" t="s">
        <v>214</v>
      </c>
      <c r="C69" s="32" t="s">
        <v>215</v>
      </c>
      <c r="D69" s="19" t="s">
        <v>216</v>
      </c>
      <c r="E69" s="33">
        <v>14</v>
      </c>
      <c r="F69" s="34">
        <v>8500</v>
      </c>
      <c r="G69" s="35">
        <f t="shared" si="6"/>
        <v>119000</v>
      </c>
      <c r="H69" s="36">
        <v>120000</v>
      </c>
      <c r="I69" s="36">
        <v>122000</v>
      </c>
      <c r="J69" s="36">
        <v>118000</v>
      </c>
      <c r="K69" s="29" t="s">
        <v>204</v>
      </c>
      <c r="L69" s="30">
        <f t="shared" si="7"/>
        <v>3000</v>
      </c>
    </row>
    <row r="70" spans="2:12" ht="21.75" customHeight="1" x14ac:dyDescent="0.3">
      <c r="B70" s="23" t="s">
        <v>217</v>
      </c>
      <c r="C70" s="24" t="s">
        <v>218</v>
      </c>
      <c r="D70" s="13" t="s">
        <v>78</v>
      </c>
      <c r="E70" s="25">
        <v>60</v>
      </c>
      <c r="F70" s="26">
        <v>12000</v>
      </c>
      <c r="G70" s="27">
        <f t="shared" si="6"/>
        <v>720000</v>
      </c>
      <c r="H70" s="28">
        <v>722000</v>
      </c>
      <c r="I70" s="28">
        <v>725000</v>
      </c>
      <c r="J70" s="28">
        <v>719000</v>
      </c>
      <c r="K70" s="29" t="s">
        <v>204</v>
      </c>
      <c r="L70" s="30">
        <f t="shared" si="7"/>
        <v>5000</v>
      </c>
    </row>
    <row r="71" spans="2:12" ht="21.75" customHeight="1" x14ac:dyDescent="0.3">
      <c r="B71" s="31" t="s">
        <v>219</v>
      </c>
      <c r="C71" s="32" t="s">
        <v>220</v>
      </c>
      <c r="D71" s="19" t="s">
        <v>198</v>
      </c>
      <c r="E71" s="33">
        <v>20</v>
      </c>
      <c r="F71" s="34">
        <v>18000</v>
      </c>
      <c r="G71" s="35">
        <f t="shared" si="6"/>
        <v>360000</v>
      </c>
      <c r="H71" s="36">
        <v>362000</v>
      </c>
      <c r="I71" s="36">
        <v>365000</v>
      </c>
      <c r="J71" s="36">
        <v>358000</v>
      </c>
      <c r="K71" s="29" t="s">
        <v>199</v>
      </c>
      <c r="L71" s="30">
        <f t="shared" si="7"/>
        <v>5000</v>
      </c>
    </row>
    <row r="72" spans="2:12" ht="21.75" customHeight="1" x14ac:dyDescent="0.3">
      <c r="B72" s="4" t="s">
        <v>221</v>
      </c>
      <c r="C72" s="37"/>
      <c r="D72" s="37"/>
      <c r="E72" s="37"/>
      <c r="F72" s="37"/>
      <c r="G72" s="38">
        <f>SUM(G62:G71)</f>
        <v>4401000</v>
      </c>
      <c r="H72" s="37"/>
      <c r="I72" s="37"/>
      <c r="J72" s="37"/>
      <c r="K72" s="37"/>
      <c r="L72" s="39">
        <f>SUM(L62:L71)</f>
        <v>44000</v>
      </c>
    </row>
    <row r="73" spans="2:12" x14ac:dyDescent="0.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ht="25.5" customHeight="1" x14ac:dyDescent="0.3">
      <c r="B74" s="141" t="s">
        <v>222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</row>
    <row r="75" spans="2:12" ht="21.75" customHeight="1" x14ac:dyDescent="0.3">
      <c r="B75" s="31" t="s">
        <v>223</v>
      </c>
      <c r="C75" s="32" t="s">
        <v>224</v>
      </c>
      <c r="D75" s="19" t="s">
        <v>179</v>
      </c>
      <c r="E75" s="33">
        <v>80</v>
      </c>
      <c r="F75" s="34">
        <v>4200</v>
      </c>
      <c r="G75" s="35">
        <f t="shared" ref="G75:G87" si="8">E75*F75</f>
        <v>336000</v>
      </c>
      <c r="H75" s="36">
        <v>337000</v>
      </c>
      <c r="I75" s="36">
        <v>340000</v>
      </c>
      <c r="J75" s="36">
        <v>334000</v>
      </c>
      <c r="K75" s="29" t="s">
        <v>225</v>
      </c>
      <c r="L75" s="30">
        <f t="shared" ref="L75:L87" si="9">MAX(H75,I75,J75)-G75</f>
        <v>4000</v>
      </c>
    </row>
    <row r="76" spans="2:12" ht="21.75" customHeight="1" x14ac:dyDescent="0.3">
      <c r="B76" s="23" t="s">
        <v>226</v>
      </c>
      <c r="C76" s="24" t="s">
        <v>227</v>
      </c>
      <c r="D76" s="13" t="s">
        <v>179</v>
      </c>
      <c r="E76" s="25">
        <v>60</v>
      </c>
      <c r="F76" s="26">
        <v>3200</v>
      </c>
      <c r="G76" s="27">
        <f t="shared" si="8"/>
        <v>192000</v>
      </c>
      <c r="H76" s="28">
        <v>193000</v>
      </c>
      <c r="I76" s="28">
        <v>195000</v>
      </c>
      <c r="J76" s="28">
        <v>191000</v>
      </c>
      <c r="K76" s="29" t="s">
        <v>225</v>
      </c>
      <c r="L76" s="30">
        <f t="shared" si="9"/>
        <v>3000</v>
      </c>
    </row>
    <row r="77" spans="2:12" ht="21.75" customHeight="1" x14ac:dyDescent="0.3">
      <c r="B77" s="31" t="s">
        <v>228</v>
      </c>
      <c r="C77" s="32" t="s">
        <v>229</v>
      </c>
      <c r="D77" s="19" t="s">
        <v>179</v>
      </c>
      <c r="E77" s="33">
        <v>120</v>
      </c>
      <c r="F77" s="34">
        <v>1800</v>
      </c>
      <c r="G77" s="35">
        <f t="shared" si="8"/>
        <v>216000</v>
      </c>
      <c r="H77" s="36">
        <v>217000</v>
      </c>
      <c r="I77" s="36">
        <v>219000</v>
      </c>
      <c r="J77" s="36">
        <v>215000</v>
      </c>
      <c r="K77" s="29" t="s">
        <v>225</v>
      </c>
      <c r="L77" s="30">
        <f t="shared" si="9"/>
        <v>3000</v>
      </c>
    </row>
    <row r="78" spans="2:12" ht="21.75" customHeight="1" x14ac:dyDescent="0.3">
      <c r="B78" s="23" t="s">
        <v>230</v>
      </c>
      <c r="C78" s="24" t="s">
        <v>231</v>
      </c>
      <c r="D78" s="13" t="s">
        <v>179</v>
      </c>
      <c r="E78" s="25">
        <v>80</v>
      </c>
      <c r="F78" s="26">
        <v>1400</v>
      </c>
      <c r="G78" s="27">
        <f t="shared" si="8"/>
        <v>112000</v>
      </c>
      <c r="H78" s="28">
        <v>113000</v>
      </c>
      <c r="I78" s="28">
        <v>115000</v>
      </c>
      <c r="J78" s="28">
        <v>111000</v>
      </c>
      <c r="K78" s="29" t="s">
        <v>225</v>
      </c>
      <c r="L78" s="30">
        <f t="shared" si="9"/>
        <v>3000</v>
      </c>
    </row>
    <row r="79" spans="2:12" ht="21.75" customHeight="1" x14ac:dyDescent="0.3">
      <c r="B79" s="31" t="s">
        <v>232</v>
      </c>
      <c r="C79" s="32" t="s">
        <v>233</v>
      </c>
      <c r="D79" s="19" t="s">
        <v>198</v>
      </c>
      <c r="E79" s="33">
        <v>1</v>
      </c>
      <c r="F79" s="34">
        <v>185000</v>
      </c>
      <c r="G79" s="35">
        <f t="shared" si="8"/>
        <v>185000</v>
      </c>
      <c r="H79" s="36">
        <v>186000</v>
      </c>
      <c r="I79" s="36">
        <v>188000</v>
      </c>
      <c r="J79" s="36">
        <v>183000</v>
      </c>
      <c r="K79" s="29" t="s">
        <v>234</v>
      </c>
      <c r="L79" s="30">
        <f t="shared" si="9"/>
        <v>3000</v>
      </c>
    </row>
    <row r="80" spans="2:12" ht="21.75" customHeight="1" x14ac:dyDescent="0.3">
      <c r="B80" s="23" t="s">
        <v>235</v>
      </c>
      <c r="C80" s="24" t="s">
        <v>236</v>
      </c>
      <c r="D80" s="13" t="s">
        <v>198</v>
      </c>
      <c r="E80" s="25">
        <v>1</v>
      </c>
      <c r="F80" s="26">
        <v>420000</v>
      </c>
      <c r="G80" s="27">
        <f t="shared" si="8"/>
        <v>420000</v>
      </c>
      <c r="H80" s="28">
        <v>422000</v>
      </c>
      <c r="I80" s="28">
        <v>425000</v>
      </c>
      <c r="J80" s="28">
        <v>418000</v>
      </c>
      <c r="K80" s="29" t="s">
        <v>234</v>
      </c>
      <c r="L80" s="30">
        <f t="shared" si="9"/>
        <v>5000</v>
      </c>
    </row>
    <row r="81" spans="2:12" ht="21.75" customHeight="1" x14ac:dyDescent="0.3">
      <c r="B81" s="31" t="s">
        <v>237</v>
      </c>
      <c r="C81" s="32" t="s">
        <v>238</v>
      </c>
      <c r="D81" s="19" t="s">
        <v>198</v>
      </c>
      <c r="E81" s="33">
        <v>2</v>
      </c>
      <c r="F81" s="34">
        <v>85000</v>
      </c>
      <c r="G81" s="35">
        <f t="shared" si="8"/>
        <v>170000</v>
      </c>
      <c r="H81" s="36">
        <v>172000</v>
      </c>
      <c r="I81" s="36">
        <v>174000</v>
      </c>
      <c r="J81" s="36">
        <v>170000</v>
      </c>
      <c r="K81" s="29" t="s">
        <v>239</v>
      </c>
      <c r="L81" s="30">
        <f t="shared" si="9"/>
        <v>4000</v>
      </c>
    </row>
    <row r="82" spans="2:12" ht="21.75" customHeight="1" x14ac:dyDescent="0.3">
      <c r="B82" s="23" t="s">
        <v>240</v>
      </c>
      <c r="C82" s="24" t="s">
        <v>241</v>
      </c>
      <c r="D82" s="13" t="s">
        <v>198</v>
      </c>
      <c r="E82" s="25">
        <v>3</v>
      </c>
      <c r="F82" s="26">
        <v>95000</v>
      </c>
      <c r="G82" s="27">
        <f t="shared" si="8"/>
        <v>285000</v>
      </c>
      <c r="H82" s="28">
        <v>287000</v>
      </c>
      <c r="I82" s="28">
        <v>290000</v>
      </c>
      <c r="J82" s="28">
        <v>283000</v>
      </c>
      <c r="K82" s="29" t="s">
        <v>242</v>
      </c>
      <c r="L82" s="30">
        <f t="shared" si="9"/>
        <v>5000</v>
      </c>
    </row>
    <row r="83" spans="2:12" ht="21.75" customHeight="1" x14ac:dyDescent="0.3">
      <c r="B83" s="31" t="s">
        <v>243</v>
      </c>
      <c r="C83" s="32" t="s">
        <v>244</v>
      </c>
      <c r="D83" s="19" t="s">
        <v>198</v>
      </c>
      <c r="E83" s="33">
        <v>3</v>
      </c>
      <c r="F83" s="34">
        <v>65000</v>
      </c>
      <c r="G83" s="35">
        <f t="shared" si="8"/>
        <v>195000</v>
      </c>
      <c r="H83" s="36">
        <v>197000</v>
      </c>
      <c r="I83" s="36">
        <v>199000</v>
      </c>
      <c r="J83" s="36">
        <v>194000</v>
      </c>
      <c r="K83" s="29" t="s">
        <v>242</v>
      </c>
      <c r="L83" s="30">
        <f t="shared" si="9"/>
        <v>4000</v>
      </c>
    </row>
    <row r="84" spans="2:12" ht="21.75" customHeight="1" x14ac:dyDescent="0.3">
      <c r="B84" s="23" t="s">
        <v>245</v>
      </c>
      <c r="C84" s="24" t="s">
        <v>246</v>
      </c>
      <c r="D84" s="13" t="s">
        <v>198</v>
      </c>
      <c r="E84" s="25">
        <v>1</v>
      </c>
      <c r="F84" s="26">
        <v>78000</v>
      </c>
      <c r="G84" s="27">
        <f t="shared" si="8"/>
        <v>78000</v>
      </c>
      <c r="H84" s="28">
        <v>79000</v>
      </c>
      <c r="I84" s="28">
        <v>81000</v>
      </c>
      <c r="J84" s="28">
        <v>77000</v>
      </c>
      <c r="K84" s="29" t="s">
        <v>242</v>
      </c>
      <c r="L84" s="30">
        <f t="shared" si="9"/>
        <v>3000</v>
      </c>
    </row>
    <row r="85" spans="2:12" ht="21.75" customHeight="1" x14ac:dyDescent="0.3">
      <c r="B85" s="31" t="s">
        <v>247</v>
      </c>
      <c r="C85" s="32" t="s">
        <v>248</v>
      </c>
      <c r="D85" s="19" t="s">
        <v>198</v>
      </c>
      <c r="E85" s="33">
        <v>3</v>
      </c>
      <c r="F85" s="34">
        <v>45000</v>
      </c>
      <c r="G85" s="35">
        <f t="shared" si="8"/>
        <v>135000</v>
      </c>
      <c r="H85" s="36">
        <v>136000</v>
      </c>
      <c r="I85" s="36">
        <v>138000</v>
      </c>
      <c r="J85" s="36">
        <v>133000</v>
      </c>
      <c r="K85" s="29" t="s">
        <v>242</v>
      </c>
      <c r="L85" s="30">
        <f t="shared" si="9"/>
        <v>3000</v>
      </c>
    </row>
    <row r="86" spans="2:12" ht="21.75" customHeight="1" x14ac:dyDescent="0.3">
      <c r="B86" s="23" t="s">
        <v>249</v>
      </c>
      <c r="C86" s="24" t="s">
        <v>250</v>
      </c>
      <c r="D86" s="13" t="s">
        <v>198</v>
      </c>
      <c r="E86" s="25">
        <v>20</v>
      </c>
      <c r="F86" s="26">
        <v>5500</v>
      </c>
      <c r="G86" s="27">
        <f t="shared" si="8"/>
        <v>110000</v>
      </c>
      <c r="H86" s="28">
        <v>111000</v>
      </c>
      <c r="I86" s="28">
        <v>113000</v>
      </c>
      <c r="J86" s="28">
        <v>109000</v>
      </c>
      <c r="K86" s="29" t="s">
        <v>225</v>
      </c>
      <c r="L86" s="30">
        <f t="shared" si="9"/>
        <v>3000</v>
      </c>
    </row>
    <row r="87" spans="2:12" ht="21.75" customHeight="1" x14ac:dyDescent="0.3">
      <c r="B87" s="31" t="s">
        <v>251</v>
      </c>
      <c r="C87" s="32" t="s">
        <v>252</v>
      </c>
      <c r="D87" s="19" t="s">
        <v>253</v>
      </c>
      <c r="E87" s="33">
        <v>1</v>
      </c>
      <c r="F87" s="34">
        <v>280000</v>
      </c>
      <c r="G87" s="35">
        <f t="shared" si="8"/>
        <v>280000</v>
      </c>
      <c r="H87" s="36">
        <v>282000</v>
      </c>
      <c r="I87" s="36">
        <v>285000</v>
      </c>
      <c r="J87" s="36">
        <v>278000</v>
      </c>
      <c r="K87" s="29" t="s">
        <v>254</v>
      </c>
      <c r="L87" s="30">
        <f t="shared" si="9"/>
        <v>5000</v>
      </c>
    </row>
    <row r="88" spans="2:12" ht="21.75" customHeight="1" x14ac:dyDescent="0.3">
      <c r="B88" s="4" t="s">
        <v>255</v>
      </c>
      <c r="C88" s="37"/>
      <c r="D88" s="37"/>
      <c r="E88" s="37"/>
      <c r="F88" s="37"/>
      <c r="G88" s="38">
        <f>SUM(G75:G87)</f>
        <v>2714000</v>
      </c>
      <c r="H88" s="37"/>
      <c r="I88" s="37"/>
      <c r="J88" s="37"/>
      <c r="K88" s="37"/>
      <c r="L88" s="39">
        <f>SUM(L75:L87)</f>
        <v>48000</v>
      </c>
    </row>
    <row r="89" spans="2:12" x14ac:dyDescent="0.3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2:12" ht="25.5" customHeight="1" x14ac:dyDescent="0.3">
      <c r="B90" s="141" t="s">
        <v>256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</row>
    <row r="91" spans="2:12" ht="21.75" customHeight="1" x14ac:dyDescent="0.3">
      <c r="B91" s="31" t="s">
        <v>257</v>
      </c>
      <c r="C91" s="32" t="s">
        <v>258</v>
      </c>
      <c r="D91" s="19" t="s">
        <v>259</v>
      </c>
      <c r="E91" s="33">
        <v>8</v>
      </c>
      <c r="F91" s="34">
        <v>58000</v>
      </c>
      <c r="G91" s="35">
        <f t="shared" ref="G91:G105" si="10">E91*F91</f>
        <v>464000</v>
      </c>
      <c r="H91" s="36">
        <v>466000</v>
      </c>
      <c r="I91" s="36">
        <v>470000</v>
      </c>
      <c r="J91" s="36">
        <v>462000</v>
      </c>
      <c r="K91" s="29" t="s">
        <v>260</v>
      </c>
      <c r="L91" s="30">
        <f t="shared" ref="L91:L105" si="11">MAX(H91,I91,J91)-G91</f>
        <v>6000</v>
      </c>
    </row>
    <row r="92" spans="2:12" ht="21.75" customHeight="1" x14ac:dyDescent="0.3">
      <c r="B92" s="23" t="s">
        <v>261</v>
      </c>
      <c r="C92" s="24" t="s">
        <v>262</v>
      </c>
      <c r="D92" s="13" t="s">
        <v>259</v>
      </c>
      <c r="E92" s="25">
        <v>4</v>
      </c>
      <c r="F92" s="26">
        <v>95000</v>
      </c>
      <c r="G92" s="27">
        <f t="shared" si="10"/>
        <v>380000</v>
      </c>
      <c r="H92" s="28">
        <v>382000</v>
      </c>
      <c r="I92" s="28">
        <v>385000</v>
      </c>
      <c r="J92" s="28">
        <v>378000</v>
      </c>
      <c r="K92" s="29" t="s">
        <v>260</v>
      </c>
      <c r="L92" s="30">
        <f t="shared" si="11"/>
        <v>5000</v>
      </c>
    </row>
    <row r="93" spans="2:12" ht="21.75" customHeight="1" x14ac:dyDescent="0.3">
      <c r="B93" s="31" t="s">
        <v>263</v>
      </c>
      <c r="C93" s="32" t="s">
        <v>264</v>
      </c>
      <c r="D93" s="19" t="s">
        <v>259</v>
      </c>
      <c r="E93" s="33">
        <v>2</v>
      </c>
      <c r="F93" s="34">
        <v>120000</v>
      </c>
      <c r="G93" s="35">
        <f t="shared" si="10"/>
        <v>240000</v>
      </c>
      <c r="H93" s="36">
        <v>242000</v>
      </c>
      <c r="I93" s="36">
        <v>244000</v>
      </c>
      <c r="J93" s="36">
        <v>240000</v>
      </c>
      <c r="K93" s="29" t="s">
        <v>260</v>
      </c>
      <c r="L93" s="30">
        <f t="shared" si="11"/>
        <v>4000</v>
      </c>
    </row>
    <row r="94" spans="2:12" ht="21.75" customHeight="1" x14ac:dyDescent="0.3">
      <c r="B94" s="23" t="s">
        <v>265</v>
      </c>
      <c r="C94" s="24" t="s">
        <v>266</v>
      </c>
      <c r="D94" s="13" t="s">
        <v>179</v>
      </c>
      <c r="E94" s="25">
        <v>200</v>
      </c>
      <c r="F94" s="26">
        <v>1200</v>
      </c>
      <c r="G94" s="27">
        <f t="shared" si="10"/>
        <v>240000</v>
      </c>
      <c r="H94" s="28">
        <v>242000</v>
      </c>
      <c r="I94" s="28">
        <v>244000</v>
      </c>
      <c r="J94" s="28">
        <v>240000</v>
      </c>
      <c r="K94" s="29" t="s">
        <v>260</v>
      </c>
      <c r="L94" s="30">
        <f t="shared" si="11"/>
        <v>4000</v>
      </c>
    </row>
    <row r="95" spans="2:12" ht="21.75" customHeight="1" x14ac:dyDescent="0.3">
      <c r="B95" s="31" t="s">
        <v>267</v>
      </c>
      <c r="C95" s="32" t="s">
        <v>268</v>
      </c>
      <c r="D95" s="19" t="s">
        <v>198</v>
      </c>
      <c r="E95" s="33">
        <v>2</v>
      </c>
      <c r="F95" s="34">
        <v>45000</v>
      </c>
      <c r="G95" s="35">
        <f t="shared" si="10"/>
        <v>90000</v>
      </c>
      <c r="H95" s="36">
        <v>91000</v>
      </c>
      <c r="I95" s="36">
        <v>93000</v>
      </c>
      <c r="J95" s="36">
        <v>89000</v>
      </c>
      <c r="K95" s="29" t="s">
        <v>269</v>
      </c>
      <c r="L95" s="30">
        <f t="shared" si="11"/>
        <v>3000</v>
      </c>
    </row>
    <row r="96" spans="2:12" ht="21.75" customHeight="1" x14ac:dyDescent="0.3">
      <c r="B96" s="23" t="s">
        <v>270</v>
      </c>
      <c r="C96" s="24" t="s">
        <v>271</v>
      </c>
      <c r="D96" s="13" t="s">
        <v>198</v>
      </c>
      <c r="E96" s="25">
        <v>24</v>
      </c>
      <c r="F96" s="26">
        <v>2800</v>
      </c>
      <c r="G96" s="27">
        <f t="shared" si="10"/>
        <v>67200</v>
      </c>
      <c r="H96" s="28">
        <v>68000</v>
      </c>
      <c r="I96" s="28">
        <v>69000</v>
      </c>
      <c r="J96" s="28">
        <v>67000</v>
      </c>
      <c r="K96" s="29" t="s">
        <v>272</v>
      </c>
      <c r="L96" s="30">
        <f t="shared" si="11"/>
        <v>1800</v>
      </c>
    </row>
    <row r="97" spans="2:12" ht="21.75" customHeight="1" x14ac:dyDescent="0.3">
      <c r="B97" s="31" t="s">
        <v>273</v>
      </c>
      <c r="C97" s="32" t="s">
        <v>274</v>
      </c>
      <c r="D97" s="19" t="s">
        <v>198</v>
      </c>
      <c r="E97" s="33">
        <v>40</v>
      </c>
      <c r="F97" s="34">
        <v>3500</v>
      </c>
      <c r="G97" s="35">
        <f t="shared" si="10"/>
        <v>140000</v>
      </c>
      <c r="H97" s="36">
        <v>141000</v>
      </c>
      <c r="I97" s="36">
        <v>143000</v>
      </c>
      <c r="J97" s="36">
        <v>139000</v>
      </c>
      <c r="K97" s="29" t="s">
        <v>269</v>
      </c>
      <c r="L97" s="30">
        <f t="shared" si="11"/>
        <v>3000</v>
      </c>
    </row>
    <row r="98" spans="2:12" ht="21.75" customHeight="1" x14ac:dyDescent="0.3">
      <c r="B98" s="23" t="s">
        <v>275</v>
      </c>
      <c r="C98" s="24" t="s">
        <v>276</v>
      </c>
      <c r="D98" s="13" t="s">
        <v>198</v>
      </c>
      <c r="E98" s="25">
        <v>20</v>
      </c>
      <c r="F98" s="26">
        <v>4500</v>
      </c>
      <c r="G98" s="27">
        <f t="shared" si="10"/>
        <v>90000</v>
      </c>
      <c r="H98" s="28">
        <v>91000</v>
      </c>
      <c r="I98" s="28">
        <v>93000</v>
      </c>
      <c r="J98" s="28">
        <v>89000</v>
      </c>
      <c r="K98" s="29" t="s">
        <v>269</v>
      </c>
      <c r="L98" s="30">
        <f t="shared" si="11"/>
        <v>3000</v>
      </c>
    </row>
    <row r="99" spans="2:12" ht="21.75" customHeight="1" x14ac:dyDescent="0.3">
      <c r="B99" s="31" t="s">
        <v>277</v>
      </c>
      <c r="C99" s="32" t="s">
        <v>278</v>
      </c>
      <c r="D99" s="19" t="s">
        <v>198</v>
      </c>
      <c r="E99" s="33">
        <v>30</v>
      </c>
      <c r="F99" s="34">
        <v>2800</v>
      </c>
      <c r="G99" s="35">
        <f t="shared" si="10"/>
        <v>84000</v>
      </c>
      <c r="H99" s="36">
        <v>85000</v>
      </c>
      <c r="I99" s="36">
        <v>87000</v>
      </c>
      <c r="J99" s="36">
        <v>83000</v>
      </c>
      <c r="K99" s="29" t="s">
        <v>269</v>
      </c>
      <c r="L99" s="30">
        <f t="shared" si="11"/>
        <v>3000</v>
      </c>
    </row>
    <row r="100" spans="2:12" ht="21.75" customHeight="1" x14ac:dyDescent="0.3">
      <c r="B100" s="23" t="s">
        <v>279</v>
      </c>
      <c r="C100" s="24" t="s">
        <v>280</v>
      </c>
      <c r="D100" s="13" t="s">
        <v>198</v>
      </c>
      <c r="E100" s="25">
        <v>30</v>
      </c>
      <c r="F100" s="26">
        <v>8500</v>
      </c>
      <c r="G100" s="27">
        <f t="shared" si="10"/>
        <v>255000</v>
      </c>
      <c r="H100" s="28">
        <v>256000</v>
      </c>
      <c r="I100" s="28">
        <v>258000</v>
      </c>
      <c r="J100" s="28">
        <v>253000</v>
      </c>
      <c r="K100" s="29" t="s">
        <v>281</v>
      </c>
      <c r="L100" s="30">
        <f t="shared" si="11"/>
        <v>3000</v>
      </c>
    </row>
    <row r="101" spans="2:12" ht="21.75" customHeight="1" x14ac:dyDescent="0.3">
      <c r="B101" s="31" t="s">
        <v>282</v>
      </c>
      <c r="C101" s="32" t="s">
        <v>283</v>
      </c>
      <c r="D101" s="19" t="s">
        <v>198</v>
      </c>
      <c r="E101" s="33">
        <v>8</v>
      </c>
      <c r="F101" s="34">
        <v>12000</v>
      </c>
      <c r="G101" s="35">
        <f t="shared" si="10"/>
        <v>96000</v>
      </c>
      <c r="H101" s="36">
        <v>97000</v>
      </c>
      <c r="I101" s="36">
        <v>99000</v>
      </c>
      <c r="J101" s="36">
        <v>95000</v>
      </c>
      <c r="K101" s="29" t="s">
        <v>281</v>
      </c>
      <c r="L101" s="30">
        <f t="shared" si="11"/>
        <v>3000</v>
      </c>
    </row>
    <row r="102" spans="2:12" ht="21.75" customHeight="1" x14ac:dyDescent="0.3">
      <c r="B102" s="23" t="s">
        <v>284</v>
      </c>
      <c r="C102" s="24" t="s">
        <v>285</v>
      </c>
      <c r="D102" s="13" t="s">
        <v>216</v>
      </c>
      <c r="E102" s="25">
        <v>1</v>
      </c>
      <c r="F102" s="26">
        <v>750000</v>
      </c>
      <c r="G102" s="27">
        <f t="shared" si="10"/>
        <v>750000</v>
      </c>
      <c r="H102" s="28">
        <v>752000</v>
      </c>
      <c r="I102" s="28">
        <v>756000</v>
      </c>
      <c r="J102" s="28">
        <v>748000</v>
      </c>
      <c r="K102" s="29" t="s">
        <v>286</v>
      </c>
      <c r="L102" s="30">
        <f t="shared" si="11"/>
        <v>6000</v>
      </c>
    </row>
    <row r="103" spans="2:12" ht="21.75" customHeight="1" x14ac:dyDescent="0.3">
      <c r="B103" s="31" t="s">
        <v>287</v>
      </c>
      <c r="C103" s="32" t="s">
        <v>288</v>
      </c>
      <c r="D103" s="19" t="s">
        <v>198</v>
      </c>
      <c r="E103" s="33">
        <v>4</v>
      </c>
      <c r="F103" s="34">
        <v>180000</v>
      </c>
      <c r="G103" s="35">
        <f t="shared" si="10"/>
        <v>720000</v>
      </c>
      <c r="H103" s="36">
        <v>722000</v>
      </c>
      <c r="I103" s="36">
        <v>726000</v>
      </c>
      <c r="J103" s="36">
        <v>718000</v>
      </c>
      <c r="K103" s="29" t="s">
        <v>289</v>
      </c>
      <c r="L103" s="30">
        <f t="shared" si="11"/>
        <v>6000</v>
      </c>
    </row>
    <row r="104" spans="2:12" ht="21.75" customHeight="1" x14ac:dyDescent="0.3">
      <c r="B104" s="23" t="s">
        <v>290</v>
      </c>
      <c r="C104" s="24" t="s">
        <v>291</v>
      </c>
      <c r="D104" s="13" t="s">
        <v>253</v>
      </c>
      <c r="E104" s="25">
        <v>1</v>
      </c>
      <c r="F104" s="26">
        <v>55000</v>
      </c>
      <c r="G104" s="27">
        <f t="shared" si="10"/>
        <v>55000</v>
      </c>
      <c r="H104" s="28">
        <v>56000</v>
      </c>
      <c r="I104" s="28">
        <v>58000</v>
      </c>
      <c r="J104" s="28">
        <v>54000</v>
      </c>
      <c r="K104" s="29" t="s">
        <v>260</v>
      </c>
      <c r="L104" s="30">
        <f t="shared" si="11"/>
        <v>3000</v>
      </c>
    </row>
    <row r="105" spans="2:12" ht="21.75" customHeight="1" x14ac:dyDescent="0.3">
      <c r="B105" s="31" t="s">
        <v>292</v>
      </c>
      <c r="C105" s="32" t="s">
        <v>293</v>
      </c>
      <c r="D105" s="19" t="s">
        <v>253</v>
      </c>
      <c r="E105" s="33">
        <v>1</v>
      </c>
      <c r="F105" s="34">
        <v>125000</v>
      </c>
      <c r="G105" s="35">
        <f t="shared" si="10"/>
        <v>125000</v>
      </c>
      <c r="H105" s="36">
        <v>126000</v>
      </c>
      <c r="I105" s="36">
        <v>128000</v>
      </c>
      <c r="J105" s="36">
        <v>123000</v>
      </c>
      <c r="K105" s="29" t="s">
        <v>294</v>
      </c>
      <c r="L105" s="30">
        <f t="shared" si="11"/>
        <v>3000</v>
      </c>
    </row>
    <row r="106" spans="2:12" ht="21.75" customHeight="1" x14ac:dyDescent="0.3">
      <c r="B106" s="4" t="s">
        <v>295</v>
      </c>
      <c r="C106" s="37"/>
      <c r="D106" s="37"/>
      <c r="E106" s="37"/>
      <c r="F106" s="37"/>
      <c r="G106" s="38">
        <f>SUM(G91:G105)</f>
        <v>3796200</v>
      </c>
      <c r="H106" s="37"/>
      <c r="I106" s="37"/>
      <c r="J106" s="37"/>
      <c r="K106" s="37"/>
      <c r="L106" s="39">
        <f>SUM(L91:L105)</f>
        <v>56800</v>
      </c>
    </row>
    <row r="107" spans="2:12" x14ac:dyDescent="0.3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2:12" ht="25.5" customHeight="1" x14ac:dyDescent="0.3">
      <c r="B108" s="141" t="s">
        <v>296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</row>
    <row r="109" spans="2:12" ht="21.75" customHeight="1" x14ac:dyDescent="0.3">
      <c r="B109" s="31" t="s">
        <v>297</v>
      </c>
      <c r="C109" s="32" t="s">
        <v>298</v>
      </c>
      <c r="D109" s="19" t="s">
        <v>78</v>
      </c>
      <c r="E109" s="33">
        <v>760</v>
      </c>
      <c r="F109" s="34">
        <v>1800</v>
      </c>
      <c r="G109" s="35">
        <f t="shared" ref="G109:G115" si="12">E109*F109</f>
        <v>1368000</v>
      </c>
      <c r="H109" s="36">
        <v>1370000</v>
      </c>
      <c r="I109" s="36">
        <v>1375000</v>
      </c>
      <c r="J109" s="36">
        <v>1365000</v>
      </c>
      <c r="K109" s="29" t="s">
        <v>299</v>
      </c>
      <c r="L109" s="30">
        <f t="shared" ref="L109:L115" si="13">MAX(H109,I109,J109)-G109</f>
        <v>7000</v>
      </c>
    </row>
    <row r="110" spans="2:12" ht="21.75" customHeight="1" x14ac:dyDescent="0.3">
      <c r="B110" s="23" t="s">
        <v>300</v>
      </c>
      <c r="C110" s="24" t="s">
        <v>301</v>
      </c>
      <c r="D110" s="13" t="s">
        <v>78</v>
      </c>
      <c r="E110" s="25">
        <v>420</v>
      </c>
      <c r="F110" s="26">
        <v>2200</v>
      </c>
      <c r="G110" s="27">
        <f t="shared" si="12"/>
        <v>924000</v>
      </c>
      <c r="H110" s="28">
        <v>926000</v>
      </c>
      <c r="I110" s="28">
        <v>930000</v>
      </c>
      <c r="J110" s="28">
        <v>922000</v>
      </c>
      <c r="K110" s="29" t="s">
        <v>299</v>
      </c>
      <c r="L110" s="30">
        <f t="shared" si="13"/>
        <v>6000</v>
      </c>
    </row>
    <row r="111" spans="2:12" ht="21.75" customHeight="1" x14ac:dyDescent="0.3">
      <c r="B111" s="31" t="s">
        <v>302</v>
      </c>
      <c r="C111" s="32" t="s">
        <v>303</v>
      </c>
      <c r="D111" s="19" t="s">
        <v>78</v>
      </c>
      <c r="E111" s="33">
        <v>180</v>
      </c>
      <c r="F111" s="34">
        <v>1500</v>
      </c>
      <c r="G111" s="35">
        <f t="shared" si="12"/>
        <v>270000</v>
      </c>
      <c r="H111" s="36">
        <v>271000</v>
      </c>
      <c r="I111" s="36">
        <v>273000</v>
      </c>
      <c r="J111" s="36">
        <v>269000</v>
      </c>
      <c r="K111" s="29" t="s">
        <v>299</v>
      </c>
      <c r="L111" s="30">
        <f t="shared" si="13"/>
        <v>3000</v>
      </c>
    </row>
    <row r="112" spans="2:12" ht="21.75" customHeight="1" x14ac:dyDescent="0.3">
      <c r="B112" s="23" t="s">
        <v>304</v>
      </c>
      <c r="C112" s="24" t="s">
        <v>305</v>
      </c>
      <c r="D112" s="13" t="s">
        <v>78</v>
      </c>
      <c r="E112" s="25">
        <v>180</v>
      </c>
      <c r="F112" s="26">
        <v>1500</v>
      </c>
      <c r="G112" s="27">
        <f t="shared" si="12"/>
        <v>270000</v>
      </c>
      <c r="H112" s="28">
        <v>271000</v>
      </c>
      <c r="I112" s="28">
        <v>273000</v>
      </c>
      <c r="J112" s="28">
        <v>269000</v>
      </c>
      <c r="K112" s="29" t="s">
        <v>299</v>
      </c>
      <c r="L112" s="30">
        <f t="shared" si="13"/>
        <v>3000</v>
      </c>
    </row>
    <row r="113" spans="2:12" ht="21.75" customHeight="1" x14ac:dyDescent="0.3">
      <c r="B113" s="31" t="s">
        <v>306</v>
      </c>
      <c r="C113" s="32" t="s">
        <v>307</v>
      </c>
      <c r="D113" s="19" t="s">
        <v>78</v>
      </c>
      <c r="E113" s="33">
        <v>360</v>
      </c>
      <c r="F113" s="34">
        <v>3500</v>
      </c>
      <c r="G113" s="35">
        <f t="shared" si="12"/>
        <v>1260000</v>
      </c>
      <c r="H113" s="36">
        <v>1263000</v>
      </c>
      <c r="I113" s="36">
        <v>1268000</v>
      </c>
      <c r="J113" s="36">
        <v>1258000</v>
      </c>
      <c r="K113" s="29" t="s">
        <v>308</v>
      </c>
      <c r="L113" s="30">
        <f t="shared" si="13"/>
        <v>8000</v>
      </c>
    </row>
    <row r="114" spans="2:12" ht="21.75" customHeight="1" x14ac:dyDescent="0.3">
      <c r="B114" s="23" t="s">
        <v>309</v>
      </c>
      <c r="C114" s="24" t="s">
        <v>310</v>
      </c>
      <c r="D114" s="13" t="s">
        <v>179</v>
      </c>
      <c r="E114" s="25">
        <v>200</v>
      </c>
      <c r="F114" s="26">
        <v>1800</v>
      </c>
      <c r="G114" s="27">
        <f t="shared" si="12"/>
        <v>360000</v>
      </c>
      <c r="H114" s="28">
        <v>362000</v>
      </c>
      <c r="I114" s="28">
        <v>365000</v>
      </c>
      <c r="J114" s="28">
        <v>358000</v>
      </c>
      <c r="K114" s="29" t="s">
        <v>308</v>
      </c>
      <c r="L114" s="30">
        <f t="shared" si="13"/>
        <v>5000</v>
      </c>
    </row>
    <row r="115" spans="2:12" ht="21.75" customHeight="1" x14ac:dyDescent="0.3">
      <c r="B115" s="31" t="s">
        <v>311</v>
      </c>
      <c r="C115" s="32" t="s">
        <v>312</v>
      </c>
      <c r="D115" s="19" t="s">
        <v>133</v>
      </c>
      <c r="E115" s="33">
        <v>180</v>
      </c>
      <c r="F115" s="34">
        <v>7200</v>
      </c>
      <c r="G115" s="35">
        <f t="shared" si="12"/>
        <v>1296000</v>
      </c>
      <c r="H115" s="36">
        <v>1298000</v>
      </c>
      <c r="I115" s="36">
        <v>1305000</v>
      </c>
      <c r="J115" s="36">
        <v>1292000</v>
      </c>
      <c r="K115" s="29" t="s">
        <v>313</v>
      </c>
      <c r="L115" s="30">
        <f t="shared" si="13"/>
        <v>9000</v>
      </c>
    </row>
    <row r="116" spans="2:12" ht="21.75" customHeight="1" x14ac:dyDescent="0.3">
      <c r="B116" s="4" t="s">
        <v>314</v>
      </c>
      <c r="C116" s="37"/>
      <c r="D116" s="37"/>
      <c r="E116" s="37"/>
      <c r="F116" s="37"/>
      <c r="G116" s="38">
        <f>SUM(G109:G115)</f>
        <v>5748000</v>
      </c>
      <c r="H116" s="37"/>
      <c r="I116" s="37"/>
      <c r="J116" s="37"/>
      <c r="K116" s="37"/>
      <c r="L116" s="39">
        <f>SUM(L109:L115)</f>
        <v>41000</v>
      </c>
    </row>
    <row r="117" spans="2:12" x14ac:dyDescent="0.3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2:12" ht="25.5" customHeight="1" x14ac:dyDescent="0.3">
      <c r="B118" s="141" t="s">
        <v>315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</row>
    <row r="119" spans="2:12" ht="21.75" customHeight="1" x14ac:dyDescent="0.3">
      <c r="B119" s="31" t="s">
        <v>316</v>
      </c>
      <c r="C119" s="32" t="s">
        <v>317</v>
      </c>
      <c r="D119" s="19" t="s">
        <v>78</v>
      </c>
      <c r="E119" s="33">
        <v>120</v>
      </c>
      <c r="F119" s="34">
        <v>8500</v>
      </c>
      <c r="G119" s="35">
        <f t="shared" ref="G119:G127" si="14">E119*F119</f>
        <v>1020000</v>
      </c>
      <c r="H119" s="36">
        <v>1022000</v>
      </c>
      <c r="I119" s="36">
        <v>1026000</v>
      </c>
      <c r="J119" s="36">
        <v>1018000</v>
      </c>
      <c r="K119" s="29" t="s">
        <v>318</v>
      </c>
      <c r="L119" s="30">
        <f t="shared" ref="L119:L127" si="15">MAX(H119,I119,J119)-G119</f>
        <v>6000</v>
      </c>
    </row>
    <row r="120" spans="2:12" ht="21.75" customHeight="1" x14ac:dyDescent="0.3">
      <c r="B120" s="23" t="s">
        <v>319</v>
      </c>
      <c r="C120" s="24" t="s">
        <v>320</v>
      </c>
      <c r="D120" s="13" t="s">
        <v>78</v>
      </c>
      <c r="E120" s="25">
        <v>90</v>
      </c>
      <c r="F120" s="26">
        <v>5800</v>
      </c>
      <c r="G120" s="27">
        <f t="shared" si="14"/>
        <v>522000</v>
      </c>
      <c r="H120" s="28">
        <v>524000</v>
      </c>
      <c r="I120" s="28">
        <v>527000</v>
      </c>
      <c r="J120" s="28">
        <v>521000</v>
      </c>
      <c r="K120" s="29" t="s">
        <v>318</v>
      </c>
      <c r="L120" s="30">
        <f t="shared" si="15"/>
        <v>5000</v>
      </c>
    </row>
    <row r="121" spans="2:12" ht="21.75" customHeight="1" x14ac:dyDescent="0.3">
      <c r="B121" s="31" t="s">
        <v>321</v>
      </c>
      <c r="C121" s="32" t="s">
        <v>322</v>
      </c>
      <c r="D121" s="19" t="s">
        <v>78</v>
      </c>
      <c r="E121" s="33">
        <v>150</v>
      </c>
      <c r="F121" s="34">
        <v>6500</v>
      </c>
      <c r="G121" s="35">
        <f t="shared" si="14"/>
        <v>975000</v>
      </c>
      <c r="H121" s="36">
        <v>978000</v>
      </c>
      <c r="I121" s="36">
        <v>982000</v>
      </c>
      <c r="J121" s="36">
        <v>974000</v>
      </c>
      <c r="K121" s="29" t="s">
        <v>318</v>
      </c>
      <c r="L121" s="30">
        <f t="shared" si="15"/>
        <v>7000</v>
      </c>
    </row>
    <row r="122" spans="2:12" ht="21.75" customHeight="1" x14ac:dyDescent="0.3">
      <c r="B122" s="23" t="s">
        <v>323</v>
      </c>
      <c r="C122" s="24" t="s">
        <v>324</v>
      </c>
      <c r="D122" s="13" t="s">
        <v>78</v>
      </c>
      <c r="E122" s="25">
        <v>40</v>
      </c>
      <c r="F122" s="26">
        <v>6500</v>
      </c>
      <c r="G122" s="27">
        <f t="shared" si="14"/>
        <v>260000</v>
      </c>
      <c r="H122" s="28">
        <v>261000</v>
      </c>
      <c r="I122" s="28">
        <v>263000</v>
      </c>
      <c r="J122" s="28">
        <v>259000</v>
      </c>
      <c r="K122" s="29" t="s">
        <v>318</v>
      </c>
      <c r="L122" s="30">
        <f t="shared" si="15"/>
        <v>3000</v>
      </c>
    </row>
    <row r="123" spans="2:12" ht="21.75" customHeight="1" x14ac:dyDescent="0.3">
      <c r="B123" s="31" t="s">
        <v>325</v>
      </c>
      <c r="C123" s="32" t="s">
        <v>326</v>
      </c>
      <c r="D123" s="19" t="s">
        <v>78</v>
      </c>
      <c r="E123" s="33">
        <v>30</v>
      </c>
      <c r="F123" s="34">
        <v>9500</v>
      </c>
      <c r="G123" s="35">
        <f t="shared" si="14"/>
        <v>285000</v>
      </c>
      <c r="H123" s="36">
        <v>286000</v>
      </c>
      <c r="I123" s="36">
        <v>289000</v>
      </c>
      <c r="J123" s="36">
        <v>283000</v>
      </c>
      <c r="K123" s="29" t="s">
        <v>318</v>
      </c>
      <c r="L123" s="30">
        <f t="shared" si="15"/>
        <v>4000</v>
      </c>
    </row>
    <row r="124" spans="2:12" ht="21.75" customHeight="1" x14ac:dyDescent="0.3">
      <c r="B124" s="23" t="s">
        <v>327</v>
      </c>
      <c r="C124" s="24" t="s">
        <v>328</v>
      </c>
      <c r="D124" s="13" t="s">
        <v>133</v>
      </c>
      <c r="E124" s="25">
        <v>90</v>
      </c>
      <c r="F124" s="26">
        <v>4800</v>
      </c>
      <c r="G124" s="27">
        <f t="shared" si="14"/>
        <v>432000</v>
      </c>
      <c r="H124" s="28">
        <v>433000</v>
      </c>
      <c r="I124" s="28">
        <v>435000</v>
      </c>
      <c r="J124" s="28">
        <v>431000</v>
      </c>
      <c r="K124" s="29" t="s">
        <v>329</v>
      </c>
      <c r="L124" s="30">
        <f t="shared" si="15"/>
        <v>3000</v>
      </c>
    </row>
    <row r="125" spans="2:12" ht="21.75" customHeight="1" x14ac:dyDescent="0.3">
      <c r="B125" s="31" t="s">
        <v>330</v>
      </c>
      <c r="C125" s="32" t="s">
        <v>331</v>
      </c>
      <c r="D125" s="19" t="s">
        <v>332</v>
      </c>
      <c r="E125" s="33">
        <v>40</v>
      </c>
      <c r="F125" s="34">
        <v>2500</v>
      </c>
      <c r="G125" s="35">
        <f t="shared" si="14"/>
        <v>100000</v>
      </c>
      <c r="H125" s="36">
        <v>101000</v>
      </c>
      <c r="I125" s="36">
        <v>102000</v>
      </c>
      <c r="J125" s="36">
        <v>100000</v>
      </c>
      <c r="K125" s="29" t="s">
        <v>329</v>
      </c>
      <c r="L125" s="30">
        <f t="shared" si="15"/>
        <v>2000</v>
      </c>
    </row>
    <row r="126" spans="2:12" ht="21.75" customHeight="1" x14ac:dyDescent="0.3">
      <c r="B126" s="23" t="s">
        <v>333</v>
      </c>
      <c r="C126" s="24" t="s">
        <v>334</v>
      </c>
      <c r="D126" s="13" t="s">
        <v>253</v>
      </c>
      <c r="E126" s="25">
        <v>1</v>
      </c>
      <c r="F126" s="26">
        <v>45000</v>
      </c>
      <c r="G126" s="27">
        <f t="shared" si="14"/>
        <v>45000</v>
      </c>
      <c r="H126" s="28">
        <v>46000</v>
      </c>
      <c r="I126" s="28">
        <v>47000</v>
      </c>
      <c r="J126" s="28">
        <v>44000</v>
      </c>
      <c r="K126" s="29" t="s">
        <v>110</v>
      </c>
      <c r="L126" s="30">
        <f t="shared" si="15"/>
        <v>2000</v>
      </c>
    </row>
    <row r="127" spans="2:12" ht="21.75" customHeight="1" x14ac:dyDescent="0.3">
      <c r="B127" s="31" t="s">
        <v>335</v>
      </c>
      <c r="C127" s="32" t="s">
        <v>336</v>
      </c>
      <c r="D127" s="19" t="s">
        <v>78</v>
      </c>
      <c r="E127" s="33">
        <v>25</v>
      </c>
      <c r="F127" s="34">
        <v>9500</v>
      </c>
      <c r="G127" s="35">
        <f t="shared" si="14"/>
        <v>237500</v>
      </c>
      <c r="H127" s="36">
        <v>238000</v>
      </c>
      <c r="I127" s="36">
        <v>240000</v>
      </c>
      <c r="J127" s="36">
        <v>236000</v>
      </c>
      <c r="K127" s="29" t="s">
        <v>318</v>
      </c>
      <c r="L127" s="30">
        <f t="shared" si="15"/>
        <v>2500</v>
      </c>
    </row>
    <row r="128" spans="2:12" ht="21.75" customHeight="1" x14ac:dyDescent="0.3">
      <c r="B128" s="4" t="s">
        <v>337</v>
      </c>
      <c r="C128" s="37"/>
      <c r="D128" s="37"/>
      <c r="E128" s="37"/>
      <c r="F128" s="37"/>
      <c r="G128" s="38">
        <f>SUM(G119:G127)</f>
        <v>3876500</v>
      </c>
      <c r="H128" s="37"/>
      <c r="I128" s="37"/>
      <c r="J128" s="37"/>
      <c r="K128" s="37"/>
      <c r="L128" s="39">
        <f>SUM(L119:L127)</f>
        <v>34500</v>
      </c>
    </row>
    <row r="129" spans="2:12" x14ac:dyDescent="0.3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2:12" ht="25.5" customHeight="1" x14ac:dyDescent="0.3">
      <c r="B130" s="141" t="s">
        <v>338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</row>
    <row r="131" spans="2:12" ht="21.75" customHeight="1" x14ac:dyDescent="0.3">
      <c r="B131" s="31" t="s">
        <v>339</v>
      </c>
      <c r="C131" s="32" t="s">
        <v>340</v>
      </c>
      <c r="D131" s="19" t="s">
        <v>341</v>
      </c>
      <c r="E131" s="33">
        <v>20</v>
      </c>
      <c r="F131" s="34">
        <v>38000</v>
      </c>
      <c r="G131" s="35">
        <f t="shared" ref="G131:G137" si="16">E131*F131</f>
        <v>760000</v>
      </c>
      <c r="H131" s="36">
        <v>762000</v>
      </c>
      <c r="I131" s="36">
        <v>765000</v>
      </c>
      <c r="J131" s="36">
        <v>758000</v>
      </c>
      <c r="K131" s="29" t="s">
        <v>342</v>
      </c>
      <c r="L131" s="30">
        <f t="shared" ref="L131:L137" si="17">MAX(H131,I131,J131)-G131</f>
        <v>5000</v>
      </c>
    </row>
    <row r="132" spans="2:12" ht="21.75" customHeight="1" x14ac:dyDescent="0.3">
      <c r="B132" s="23" t="s">
        <v>343</v>
      </c>
      <c r="C132" s="24" t="s">
        <v>344</v>
      </c>
      <c r="D132" s="13" t="s">
        <v>341</v>
      </c>
      <c r="E132" s="25">
        <v>25</v>
      </c>
      <c r="F132" s="26">
        <v>32000</v>
      </c>
      <c r="G132" s="27">
        <f t="shared" si="16"/>
        <v>800000</v>
      </c>
      <c r="H132" s="28">
        <v>802000</v>
      </c>
      <c r="I132" s="28">
        <v>805000</v>
      </c>
      <c r="J132" s="28">
        <v>798000</v>
      </c>
      <c r="K132" s="29" t="s">
        <v>342</v>
      </c>
      <c r="L132" s="30">
        <f t="shared" si="17"/>
        <v>5000</v>
      </c>
    </row>
    <row r="133" spans="2:12" ht="21.75" customHeight="1" x14ac:dyDescent="0.3">
      <c r="B133" s="31" t="s">
        <v>345</v>
      </c>
      <c r="C133" s="32" t="s">
        <v>346</v>
      </c>
      <c r="D133" s="19" t="s">
        <v>341</v>
      </c>
      <c r="E133" s="33">
        <v>15</v>
      </c>
      <c r="F133" s="34">
        <v>12000</v>
      </c>
      <c r="G133" s="35">
        <f t="shared" si="16"/>
        <v>180000</v>
      </c>
      <c r="H133" s="36">
        <v>181000</v>
      </c>
      <c r="I133" s="36">
        <v>183000</v>
      </c>
      <c r="J133" s="36">
        <v>179000</v>
      </c>
      <c r="K133" s="29" t="s">
        <v>342</v>
      </c>
      <c r="L133" s="30">
        <f t="shared" si="17"/>
        <v>3000</v>
      </c>
    </row>
    <row r="134" spans="2:12" ht="21.75" customHeight="1" x14ac:dyDescent="0.3">
      <c r="B134" s="23" t="s">
        <v>347</v>
      </c>
      <c r="C134" s="24" t="s">
        <v>348</v>
      </c>
      <c r="D134" s="13" t="s">
        <v>341</v>
      </c>
      <c r="E134" s="25">
        <v>10</v>
      </c>
      <c r="F134" s="26">
        <v>15000</v>
      </c>
      <c r="G134" s="27">
        <f t="shared" si="16"/>
        <v>150000</v>
      </c>
      <c r="H134" s="28">
        <v>151000</v>
      </c>
      <c r="I134" s="28">
        <v>153000</v>
      </c>
      <c r="J134" s="28">
        <v>149000</v>
      </c>
      <c r="K134" s="29" t="s">
        <v>349</v>
      </c>
      <c r="L134" s="30">
        <f t="shared" si="17"/>
        <v>3000</v>
      </c>
    </row>
    <row r="135" spans="2:12" ht="21.75" customHeight="1" x14ac:dyDescent="0.3">
      <c r="B135" s="31" t="s">
        <v>350</v>
      </c>
      <c r="C135" s="32" t="s">
        <v>351</v>
      </c>
      <c r="D135" s="19" t="s">
        <v>133</v>
      </c>
      <c r="E135" s="33">
        <v>40</v>
      </c>
      <c r="F135" s="34">
        <v>4500</v>
      </c>
      <c r="G135" s="35">
        <f t="shared" si="16"/>
        <v>180000</v>
      </c>
      <c r="H135" s="36">
        <v>181000</v>
      </c>
      <c r="I135" s="36">
        <v>183000</v>
      </c>
      <c r="J135" s="36">
        <v>179000</v>
      </c>
      <c r="K135" s="29" t="s">
        <v>299</v>
      </c>
      <c r="L135" s="30">
        <f t="shared" si="17"/>
        <v>3000</v>
      </c>
    </row>
    <row r="136" spans="2:12" ht="21.75" customHeight="1" x14ac:dyDescent="0.3">
      <c r="B136" s="23" t="s">
        <v>352</v>
      </c>
      <c r="C136" s="24" t="s">
        <v>353</v>
      </c>
      <c r="D136" s="13" t="s">
        <v>253</v>
      </c>
      <c r="E136" s="25">
        <v>1</v>
      </c>
      <c r="F136" s="26">
        <v>85000</v>
      </c>
      <c r="G136" s="27">
        <f t="shared" si="16"/>
        <v>85000</v>
      </c>
      <c r="H136" s="28">
        <v>86000</v>
      </c>
      <c r="I136" s="28">
        <v>88000</v>
      </c>
      <c r="J136" s="28">
        <v>84000</v>
      </c>
      <c r="K136" s="29" t="s">
        <v>110</v>
      </c>
      <c r="L136" s="30">
        <f t="shared" si="17"/>
        <v>3000</v>
      </c>
    </row>
    <row r="137" spans="2:12" ht="21.75" customHeight="1" x14ac:dyDescent="0.3">
      <c r="B137" s="31" t="s">
        <v>354</v>
      </c>
      <c r="C137" s="32" t="s">
        <v>355</v>
      </c>
      <c r="D137" s="19" t="s">
        <v>253</v>
      </c>
      <c r="E137" s="33">
        <v>1</v>
      </c>
      <c r="F137" s="34">
        <v>35000</v>
      </c>
      <c r="G137" s="35">
        <f t="shared" si="16"/>
        <v>35000</v>
      </c>
      <c r="H137" s="36">
        <v>36000</v>
      </c>
      <c r="I137" s="36">
        <v>37000</v>
      </c>
      <c r="J137" s="36">
        <v>34000</v>
      </c>
      <c r="K137" s="29" t="s">
        <v>110</v>
      </c>
      <c r="L137" s="30">
        <f t="shared" si="17"/>
        <v>2000</v>
      </c>
    </row>
    <row r="138" spans="2:12" ht="21.75" customHeight="1" x14ac:dyDescent="0.3">
      <c r="B138" s="4" t="s">
        <v>356</v>
      </c>
      <c r="C138" s="37"/>
      <c r="D138" s="37"/>
      <c r="E138" s="37"/>
      <c r="F138" s="37"/>
      <c r="G138" s="38">
        <f>SUM(G131:G137)</f>
        <v>2190000</v>
      </c>
      <c r="H138" s="37"/>
      <c r="I138" s="37"/>
      <c r="J138" s="37"/>
      <c r="K138" s="37"/>
      <c r="L138" s="39">
        <f>SUM(L131:L137)</f>
        <v>24000</v>
      </c>
    </row>
    <row r="139" spans="2:12" x14ac:dyDescent="0.3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2:12" ht="25.5" customHeight="1" x14ac:dyDescent="0.3">
      <c r="B140" s="141" t="s">
        <v>357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</row>
    <row r="141" spans="2:12" ht="21.75" customHeight="1" x14ac:dyDescent="0.3">
      <c r="B141" s="31" t="s">
        <v>358</v>
      </c>
      <c r="C141" s="32" t="s">
        <v>359</v>
      </c>
      <c r="D141" s="19" t="s">
        <v>253</v>
      </c>
      <c r="E141" s="33">
        <v>1</v>
      </c>
      <c r="F141" s="34">
        <v>420000</v>
      </c>
      <c r="G141" s="35">
        <f>E141*F141</f>
        <v>420000</v>
      </c>
      <c r="H141" s="36">
        <v>422000</v>
      </c>
      <c r="I141" s="36">
        <v>426000</v>
      </c>
      <c r="J141" s="36">
        <v>418000</v>
      </c>
      <c r="K141" s="29" t="s">
        <v>360</v>
      </c>
      <c r="L141" s="30">
        <f>MAX(H141,I141,J141)-G141</f>
        <v>6000</v>
      </c>
    </row>
    <row r="142" spans="2:12" ht="21.75" customHeight="1" x14ac:dyDescent="0.3">
      <c r="B142" s="23" t="s">
        <v>361</v>
      </c>
      <c r="C142" s="24" t="s">
        <v>362</v>
      </c>
      <c r="D142" s="13" t="s">
        <v>253</v>
      </c>
      <c r="E142" s="25">
        <v>1</v>
      </c>
      <c r="F142" s="26">
        <v>0</v>
      </c>
      <c r="G142" s="27">
        <f>E142*F142</f>
        <v>0</v>
      </c>
      <c r="H142" s="28">
        <v>0</v>
      </c>
      <c r="I142" s="28">
        <v>0</v>
      </c>
      <c r="J142" s="28">
        <v>0</v>
      </c>
      <c r="K142" s="29" t="s">
        <v>363</v>
      </c>
      <c r="L142" s="30">
        <f>MAX(H142,I142,J142)-G142</f>
        <v>0</v>
      </c>
    </row>
    <row r="143" spans="2:12" ht="21.75" customHeight="1" x14ac:dyDescent="0.3">
      <c r="B143" s="31" t="s">
        <v>364</v>
      </c>
      <c r="C143" s="32" t="s">
        <v>365</v>
      </c>
      <c r="D143" s="19" t="s">
        <v>179</v>
      </c>
      <c r="E143" s="33">
        <v>12</v>
      </c>
      <c r="F143" s="34">
        <v>25000</v>
      </c>
      <c r="G143" s="35">
        <f>E143*F143</f>
        <v>300000</v>
      </c>
      <c r="H143" s="36">
        <v>301000</v>
      </c>
      <c r="I143" s="36">
        <v>304000</v>
      </c>
      <c r="J143" s="36">
        <v>298000</v>
      </c>
      <c r="K143" s="29" t="s">
        <v>360</v>
      </c>
      <c r="L143" s="30">
        <f>MAX(H143,I143,J143)-G143</f>
        <v>4000</v>
      </c>
    </row>
    <row r="144" spans="2:12" ht="21.75" customHeight="1" x14ac:dyDescent="0.3">
      <c r="B144" s="23" t="s">
        <v>366</v>
      </c>
      <c r="C144" s="24" t="s">
        <v>367</v>
      </c>
      <c r="D144" s="13" t="s">
        <v>155</v>
      </c>
      <c r="E144" s="25">
        <v>16</v>
      </c>
      <c r="F144" s="26">
        <v>18000</v>
      </c>
      <c r="G144" s="27">
        <f>E144*F144</f>
        <v>288000</v>
      </c>
      <c r="H144" s="28">
        <v>289000</v>
      </c>
      <c r="I144" s="28">
        <v>291000</v>
      </c>
      <c r="J144" s="28">
        <v>287000</v>
      </c>
      <c r="K144" s="29" t="s">
        <v>360</v>
      </c>
      <c r="L144" s="30">
        <f>MAX(H144,I144,J144)-G144</f>
        <v>3000</v>
      </c>
    </row>
    <row r="145" spans="2:12" ht="21.75" customHeight="1" x14ac:dyDescent="0.3">
      <c r="B145" s="31" t="s">
        <v>368</v>
      </c>
      <c r="C145" s="32" t="s">
        <v>369</v>
      </c>
      <c r="D145" s="19" t="s">
        <v>78</v>
      </c>
      <c r="E145" s="33">
        <v>8</v>
      </c>
      <c r="F145" s="34">
        <v>85000</v>
      </c>
      <c r="G145" s="35">
        <f>E145*F145</f>
        <v>680000</v>
      </c>
      <c r="H145" s="36">
        <v>682000</v>
      </c>
      <c r="I145" s="36">
        <v>686000</v>
      </c>
      <c r="J145" s="36">
        <v>678000</v>
      </c>
      <c r="K145" s="29" t="s">
        <v>370</v>
      </c>
      <c r="L145" s="30">
        <f>MAX(H145,I145,J145)-G145</f>
        <v>6000</v>
      </c>
    </row>
    <row r="146" spans="2:12" ht="21.75" customHeight="1" x14ac:dyDescent="0.3">
      <c r="B146" s="4" t="s">
        <v>371</v>
      </c>
      <c r="C146" s="37"/>
      <c r="D146" s="37"/>
      <c r="E146" s="37"/>
      <c r="F146" s="37"/>
      <c r="G146" s="38">
        <f>SUM(G141:G145)</f>
        <v>1688000</v>
      </c>
      <c r="H146" s="37"/>
      <c r="I146" s="37"/>
      <c r="J146" s="37"/>
      <c r="K146" s="37"/>
      <c r="L146" s="39">
        <f>SUM(L141:L145)</f>
        <v>19000</v>
      </c>
    </row>
    <row r="147" spans="2:12" x14ac:dyDescent="0.3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2:12" ht="25.5" customHeight="1" x14ac:dyDescent="0.3">
      <c r="B148" s="141" t="s">
        <v>372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</row>
    <row r="149" spans="2:12" ht="21.75" customHeight="1" x14ac:dyDescent="0.3">
      <c r="B149" s="31" t="s">
        <v>373</v>
      </c>
      <c r="C149" s="32" t="s">
        <v>374</v>
      </c>
      <c r="D149" s="19" t="s">
        <v>78</v>
      </c>
      <c r="E149" s="33">
        <v>120</v>
      </c>
      <c r="F149" s="34">
        <v>15000</v>
      </c>
      <c r="G149" s="35">
        <f t="shared" ref="G149:G158" si="18">E149*F149</f>
        <v>1800000</v>
      </c>
      <c r="H149" s="36">
        <v>1806000</v>
      </c>
      <c r="I149" s="36">
        <v>1812000</v>
      </c>
      <c r="J149" s="36">
        <v>1800000</v>
      </c>
      <c r="K149" s="29" t="s">
        <v>121</v>
      </c>
      <c r="L149" s="30">
        <f t="shared" ref="L149:L158" si="19">MAX(H149,I149,J149)-G149</f>
        <v>12000</v>
      </c>
    </row>
    <row r="150" spans="2:12" ht="21.75" customHeight="1" x14ac:dyDescent="0.3">
      <c r="B150" s="23" t="s">
        <v>375</v>
      </c>
      <c r="C150" s="24" t="s">
        <v>376</v>
      </c>
      <c r="D150" s="13" t="s">
        <v>198</v>
      </c>
      <c r="E150" s="25">
        <v>1</v>
      </c>
      <c r="F150" s="26">
        <v>650000</v>
      </c>
      <c r="G150" s="27">
        <f t="shared" si="18"/>
        <v>650000</v>
      </c>
      <c r="H150" s="28">
        <v>652000</v>
      </c>
      <c r="I150" s="28">
        <v>656000</v>
      </c>
      <c r="J150" s="28">
        <v>648000</v>
      </c>
      <c r="K150" s="29" t="s">
        <v>204</v>
      </c>
      <c r="L150" s="30">
        <f t="shared" si="19"/>
        <v>6000</v>
      </c>
    </row>
    <row r="151" spans="2:12" ht="21.75" customHeight="1" x14ac:dyDescent="0.3">
      <c r="B151" s="31" t="s">
        <v>377</v>
      </c>
      <c r="C151" s="32" t="s">
        <v>378</v>
      </c>
      <c r="D151" s="19" t="s">
        <v>198</v>
      </c>
      <c r="E151" s="33">
        <v>1</v>
      </c>
      <c r="F151" s="34">
        <v>180000</v>
      </c>
      <c r="G151" s="35">
        <f t="shared" si="18"/>
        <v>180000</v>
      </c>
      <c r="H151" s="36">
        <v>181000</v>
      </c>
      <c r="I151" s="36">
        <v>183000</v>
      </c>
      <c r="J151" s="36">
        <v>179000</v>
      </c>
      <c r="K151" s="29" t="s">
        <v>204</v>
      </c>
      <c r="L151" s="30">
        <f t="shared" si="19"/>
        <v>3000</v>
      </c>
    </row>
    <row r="152" spans="2:12" ht="21.75" customHeight="1" x14ac:dyDescent="0.3">
      <c r="B152" s="23" t="s">
        <v>379</v>
      </c>
      <c r="C152" s="24" t="s">
        <v>380</v>
      </c>
      <c r="D152" s="13" t="s">
        <v>78</v>
      </c>
      <c r="E152" s="25">
        <v>200</v>
      </c>
      <c r="F152" s="26">
        <v>4500</v>
      </c>
      <c r="G152" s="27">
        <f t="shared" si="18"/>
        <v>900000</v>
      </c>
      <c r="H152" s="28">
        <v>902000</v>
      </c>
      <c r="I152" s="28">
        <v>905000</v>
      </c>
      <c r="J152" s="28">
        <v>899000</v>
      </c>
      <c r="K152" s="29" t="s">
        <v>381</v>
      </c>
      <c r="L152" s="30">
        <f t="shared" si="19"/>
        <v>5000</v>
      </c>
    </row>
    <row r="153" spans="2:12" ht="21.75" customHeight="1" x14ac:dyDescent="0.3">
      <c r="B153" s="31" t="s">
        <v>382</v>
      </c>
      <c r="C153" s="32" t="s">
        <v>383</v>
      </c>
      <c r="D153" s="19" t="s">
        <v>198</v>
      </c>
      <c r="E153" s="33">
        <v>4</v>
      </c>
      <c r="F153" s="34">
        <v>45000</v>
      </c>
      <c r="G153" s="35">
        <f t="shared" si="18"/>
        <v>180000</v>
      </c>
      <c r="H153" s="36">
        <v>181000</v>
      </c>
      <c r="I153" s="36">
        <v>183000</v>
      </c>
      <c r="J153" s="36">
        <v>179000</v>
      </c>
      <c r="K153" s="29" t="s">
        <v>384</v>
      </c>
      <c r="L153" s="30">
        <f t="shared" si="19"/>
        <v>3000</v>
      </c>
    </row>
    <row r="154" spans="2:12" ht="21.75" customHeight="1" x14ac:dyDescent="0.3">
      <c r="B154" s="23" t="s">
        <v>385</v>
      </c>
      <c r="C154" s="24" t="s">
        <v>386</v>
      </c>
      <c r="D154" s="13" t="s">
        <v>253</v>
      </c>
      <c r="E154" s="25">
        <v>1</v>
      </c>
      <c r="F154" s="26">
        <v>1200000</v>
      </c>
      <c r="G154" s="27">
        <f t="shared" si="18"/>
        <v>1200000</v>
      </c>
      <c r="H154" s="28">
        <v>1202000</v>
      </c>
      <c r="I154" s="28">
        <v>1206000</v>
      </c>
      <c r="J154" s="28">
        <v>1198000</v>
      </c>
      <c r="K154" s="29" t="s">
        <v>387</v>
      </c>
      <c r="L154" s="30">
        <f t="shared" si="19"/>
        <v>6000</v>
      </c>
    </row>
    <row r="155" spans="2:12" ht="21.75" customHeight="1" x14ac:dyDescent="0.3">
      <c r="B155" s="31" t="s">
        <v>388</v>
      </c>
      <c r="C155" s="32" t="s">
        <v>389</v>
      </c>
      <c r="D155" s="19" t="s">
        <v>253</v>
      </c>
      <c r="E155" s="33">
        <v>1</v>
      </c>
      <c r="F155" s="34">
        <v>180000</v>
      </c>
      <c r="G155" s="35">
        <f t="shared" si="18"/>
        <v>180000</v>
      </c>
      <c r="H155" s="36">
        <v>181000</v>
      </c>
      <c r="I155" s="36">
        <v>183000</v>
      </c>
      <c r="J155" s="36">
        <v>179000</v>
      </c>
      <c r="K155" s="29" t="s">
        <v>254</v>
      </c>
      <c r="L155" s="30">
        <f t="shared" si="19"/>
        <v>3000</v>
      </c>
    </row>
    <row r="156" spans="2:12" ht="21.75" customHeight="1" x14ac:dyDescent="0.3">
      <c r="B156" s="23" t="s">
        <v>390</v>
      </c>
      <c r="C156" s="24" t="s">
        <v>391</v>
      </c>
      <c r="D156" s="13" t="s">
        <v>179</v>
      </c>
      <c r="E156" s="25">
        <v>40</v>
      </c>
      <c r="F156" s="26">
        <v>6500</v>
      </c>
      <c r="G156" s="27">
        <f t="shared" si="18"/>
        <v>260000</v>
      </c>
      <c r="H156" s="28">
        <v>261000</v>
      </c>
      <c r="I156" s="28">
        <v>263000</v>
      </c>
      <c r="J156" s="28">
        <v>259000</v>
      </c>
      <c r="K156" s="29" t="s">
        <v>254</v>
      </c>
      <c r="L156" s="30">
        <f t="shared" si="19"/>
        <v>3000</v>
      </c>
    </row>
    <row r="157" spans="2:12" ht="21.75" customHeight="1" x14ac:dyDescent="0.3">
      <c r="B157" s="31" t="s">
        <v>392</v>
      </c>
      <c r="C157" s="32" t="s">
        <v>393</v>
      </c>
      <c r="D157" s="19" t="s">
        <v>78</v>
      </c>
      <c r="E157" s="33">
        <v>200</v>
      </c>
      <c r="F157" s="34">
        <v>1500</v>
      </c>
      <c r="G157" s="35">
        <f t="shared" si="18"/>
        <v>300000</v>
      </c>
      <c r="H157" s="36">
        <v>302000</v>
      </c>
      <c r="I157" s="36">
        <v>304000</v>
      </c>
      <c r="J157" s="36">
        <v>299000</v>
      </c>
      <c r="K157" s="29" t="s">
        <v>394</v>
      </c>
      <c r="L157" s="30">
        <f t="shared" si="19"/>
        <v>4000</v>
      </c>
    </row>
    <row r="158" spans="2:12" ht="21.75" customHeight="1" x14ac:dyDescent="0.3">
      <c r="B158" s="23" t="s">
        <v>395</v>
      </c>
      <c r="C158" s="24" t="s">
        <v>396</v>
      </c>
      <c r="D158" s="13" t="s">
        <v>179</v>
      </c>
      <c r="E158" s="25">
        <v>50</v>
      </c>
      <c r="F158" s="26">
        <v>3500</v>
      </c>
      <c r="G158" s="27">
        <f t="shared" si="18"/>
        <v>175000</v>
      </c>
      <c r="H158" s="28">
        <v>176000</v>
      </c>
      <c r="I158" s="28">
        <v>178000</v>
      </c>
      <c r="J158" s="28">
        <v>174000</v>
      </c>
      <c r="K158" s="29" t="s">
        <v>381</v>
      </c>
      <c r="L158" s="30">
        <f t="shared" si="19"/>
        <v>3000</v>
      </c>
    </row>
    <row r="159" spans="2:12" ht="21.75" customHeight="1" x14ac:dyDescent="0.3">
      <c r="B159" s="4" t="s">
        <v>397</v>
      </c>
      <c r="C159" s="37"/>
      <c r="D159" s="37"/>
      <c r="E159" s="37"/>
      <c r="F159" s="37"/>
      <c r="G159" s="38">
        <f>SUM(G149:G158)</f>
        <v>5825000</v>
      </c>
      <c r="H159" s="37"/>
      <c r="I159" s="37"/>
      <c r="J159" s="37"/>
      <c r="K159" s="37"/>
      <c r="L159" s="39">
        <f>SUM(L149:L158)</f>
        <v>48000</v>
      </c>
    </row>
    <row r="160" spans="2:12" x14ac:dyDescent="0.3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2:12" ht="12" customHeight="1" x14ac:dyDescent="0.3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2:12" ht="30" customHeight="1" x14ac:dyDescent="0.3">
      <c r="B162" s="140" t="s">
        <v>398</v>
      </c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</row>
    <row r="163" spans="2:12" ht="21.75" customHeight="1" x14ac:dyDescent="0.3">
      <c r="B163" s="40" t="s">
        <v>399</v>
      </c>
      <c r="C163" s="138" t="s">
        <v>400</v>
      </c>
      <c r="D163" s="138"/>
      <c r="E163" s="138"/>
      <c r="F163" s="138"/>
      <c r="G163" s="138"/>
      <c r="H163" s="138"/>
      <c r="I163" s="138"/>
      <c r="J163" s="138"/>
      <c r="K163" s="138"/>
      <c r="L163" s="42">
        <v>1588500</v>
      </c>
    </row>
    <row r="164" spans="2:12" ht="21.75" customHeight="1" x14ac:dyDescent="0.3">
      <c r="B164" s="43" t="s">
        <v>401</v>
      </c>
      <c r="C164" s="137" t="s">
        <v>402</v>
      </c>
      <c r="D164" s="137"/>
      <c r="E164" s="137"/>
      <c r="F164" s="137"/>
      <c r="G164" s="137"/>
      <c r="H164" s="137"/>
      <c r="I164" s="137"/>
      <c r="J164" s="137"/>
      <c r="K164" s="137"/>
      <c r="L164" s="45">
        <v>7077000</v>
      </c>
    </row>
    <row r="165" spans="2:12" ht="21.75" customHeight="1" x14ac:dyDescent="0.3">
      <c r="B165" s="40" t="s">
        <v>403</v>
      </c>
      <c r="C165" s="138" t="s">
        <v>404</v>
      </c>
      <c r="D165" s="138"/>
      <c r="E165" s="138"/>
      <c r="F165" s="138"/>
      <c r="G165" s="138"/>
      <c r="H165" s="138"/>
      <c r="I165" s="138"/>
      <c r="J165" s="138"/>
      <c r="K165" s="138"/>
      <c r="L165" s="42">
        <v>21179000</v>
      </c>
    </row>
    <row r="166" spans="2:12" ht="21.75" customHeight="1" x14ac:dyDescent="0.3">
      <c r="B166" s="43" t="s">
        <v>405</v>
      </c>
      <c r="C166" s="137" t="s">
        <v>406</v>
      </c>
      <c r="D166" s="137"/>
      <c r="E166" s="137"/>
      <c r="F166" s="137"/>
      <c r="G166" s="137"/>
      <c r="H166" s="137"/>
      <c r="I166" s="137"/>
      <c r="J166" s="137"/>
      <c r="K166" s="137"/>
      <c r="L166" s="45">
        <v>3491500</v>
      </c>
    </row>
    <row r="167" spans="2:12" ht="21.75" customHeight="1" x14ac:dyDescent="0.3">
      <c r="B167" s="40" t="s">
        <v>407</v>
      </c>
      <c r="C167" s="138" t="s">
        <v>408</v>
      </c>
      <c r="D167" s="138"/>
      <c r="E167" s="138"/>
      <c r="F167" s="138"/>
      <c r="G167" s="138"/>
      <c r="H167" s="138"/>
      <c r="I167" s="138"/>
      <c r="J167" s="138"/>
      <c r="K167" s="138"/>
      <c r="L167" s="42">
        <v>4401000</v>
      </c>
    </row>
    <row r="168" spans="2:12" ht="21.75" customHeight="1" x14ac:dyDescent="0.3">
      <c r="B168" s="43" t="s">
        <v>409</v>
      </c>
      <c r="C168" s="137" t="s">
        <v>410</v>
      </c>
      <c r="D168" s="137"/>
      <c r="E168" s="137"/>
      <c r="F168" s="137"/>
      <c r="G168" s="137"/>
      <c r="H168" s="137"/>
      <c r="I168" s="137"/>
      <c r="J168" s="137"/>
      <c r="K168" s="137"/>
      <c r="L168" s="45">
        <v>2714000</v>
      </c>
    </row>
    <row r="169" spans="2:12" ht="21.75" customHeight="1" x14ac:dyDescent="0.3">
      <c r="B169" s="40" t="s">
        <v>411</v>
      </c>
      <c r="C169" s="138" t="s">
        <v>412</v>
      </c>
      <c r="D169" s="138"/>
      <c r="E169" s="138"/>
      <c r="F169" s="138"/>
      <c r="G169" s="138"/>
      <c r="H169" s="138"/>
      <c r="I169" s="138"/>
      <c r="J169" s="138"/>
      <c r="K169" s="138"/>
      <c r="L169" s="42">
        <v>3796200</v>
      </c>
    </row>
    <row r="170" spans="2:12" ht="21.75" customHeight="1" x14ac:dyDescent="0.3">
      <c r="B170" s="43" t="s">
        <v>413</v>
      </c>
      <c r="C170" s="137" t="s">
        <v>414</v>
      </c>
      <c r="D170" s="137"/>
      <c r="E170" s="137"/>
      <c r="F170" s="137"/>
      <c r="G170" s="137"/>
      <c r="H170" s="137"/>
      <c r="I170" s="137"/>
      <c r="J170" s="137"/>
      <c r="K170" s="137"/>
      <c r="L170" s="45">
        <v>5748000</v>
      </c>
    </row>
    <row r="171" spans="2:12" ht="21.75" customHeight="1" x14ac:dyDescent="0.3">
      <c r="B171" s="40" t="s">
        <v>415</v>
      </c>
      <c r="C171" s="138" t="s">
        <v>416</v>
      </c>
      <c r="D171" s="138"/>
      <c r="E171" s="138"/>
      <c r="F171" s="138"/>
      <c r="G171" s="138"/>
      <c r="H171" s="138"/>
      <c r="I171" s="138"/>
      <c r="J171" s="138"/>
      <c r="K171" s="138"/>
      <c r="L171" s="42">
        <v>3876500</v>
      </c>
    </row>
    <row r="172" spans="2:12" ht="21.75" customHeight="1" x14ac:dyDescent="0.3">
      <c r="B172" s="43" t="s">
        <v>417</v>
      </c>
      <c r="C172" s="137" t="s">
        <v>418</v>
      </c>
      <c r="D172" s="137"/>
      <c r="E172" s="137"/>
      <c r="F172" s="137"/>
      <c r="G172" s="137"/>
      <c r="H172" s="137"/>
      <c r="I172" s="137"/>
      <c r="J172" s="137"/>
      <c r="K172" s="137"/>
      <c r="L172" s="45">
        <v>2190000</v>
      </c>
    </row>
    <row r="173" spans="2:12" ht="21.75" customHeight="1" x14ac:dyDescent="0.3">
      <c r="B173" s="40" t="s">
        <v>419</v>
      </c>
      <c r="C173" s="138" t="s">
        <v>420</v>
      </c>
      <c r="D173" s="138"/>
      <c r="E173" s="138"/>
      <c r="F173" s="138"/>
      <c r="G173" s="138"/>
      <c r="H173" s="138"/>
      <c r="I173" s="138"/>
      <c r="J173" s="138"/>
      <c r="K173" s="138"/>
      <c r="L173" s="42">
        <v>1688000</v>
      </c>
    </row>
    <row r="174" spans="2:12" ht="21.75" customHeight="1" x14ac:dyDescent="0.3">
      <c r="B174" s="43" t="s">
        <v>421</v>
      </c>
      <c r="C174" s="137" t="s">
        <v>422</v>
      </c>
      <c r="D174" s="137"/>
      <c r="E174" s="137"/>
      <c r="F174" s="137"/>
      <c r="G174" s="137"/>
      <c r="H174" s="137"/>
      <c r="I174" s="137"/>
      <c r="J174" s="137"/>
      <c r="K174" s="137"/>
      <c r="L174" s="45">
        <v>5825000</v>
      </c>
    </row>
    <row r="175" spans="2:12" ht="31.5" customHeight="1" x14ac:dyDescent="0.3">
      <c r="B175" s="139" t="s">
        <v>423</v>
      </c>
      <c r="C175" s="139"/>
      <c r="D175" s="139"/>
      <c r="E175" s="139"/>
      <c r="F175" s="139"/>
      <c r="G175" s="139"/>
      <c r="H175" s="139"/>
      <c r="I175" s="139"/>
      <c r="J175" s="139"/>
      <c r="K175" s="139"/>
      <c r="L175" s="46">
        <f>SUM(L163:L174)</f>
        <v>63574700</v>
      </c>
    </row>
  </sheetData>
  <mergeCells count="29">
    <mergeCell ref="B1:L1"/>
    <mergeCell ref="B2:L2"/>
    <mergeCell ref="B4:K4"/>
    <mergeCell ref="B7:L7"/>
    <mergeCell ref="B15:L15"/>
    <mergeCell ref="B27:L27"/>
    <mergeCell ref="B48:L48"/>
    <mergeCell ref="B61:L61"/>
    <mergeCell ref="B74:L74"/>
    <mergeCell ref="B90:L90"/>
    <mergeCell ref="B108:L108"/>
    <mergeCell ref="B118:L118"/>
    <mergeCell ref="B130:L130"/>
    <mergeCell ref="B140:L140"/>
    <mergeCell ref="B148:L148"/>
    <mergeCell ref="B162:L162"/>
    <mergeCell ref="C163:K163"/>
    <mergeCell ref="C164:K164"/>
    <mergeCell ref="C165:K165"/>
    <mergeCell ref="C166:K166"/>
    <mergeCell ref="C172:K172"/>
    <mergeCell ref="C173:K173"/>
    <mergeCell ref="C174:K174"/>
    <mergeCell ref="B175:K175"/>
    <mergeCell ref="C167:K167"/>
    <mergeCell ref="C168:K168"/>
    <mergeCell ref="C169:K169"/>
    <mergeCell ref="C170:K170"/>
    <mergeCell ref="C171:K17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B1:J8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1" sqref="C21"/>
    </sheetView>
  </sheetViews>
  <sheetFormatPr defaultColWidth="8.6640625" defaultRowHeight="14.4" x14ac:dyDescent="0.3"/>
  <cols>
    <col min="1" max="1" width="2" customWidth="1"/>
    <col min="2" max="2" width="12.21875" customWidth="1"/>
    <col min="3" max="3" width="30" customWidth="1"/>
    <col min="4" max="4" width="14" customWidth="1"/>
    <col min="5" max="5" width="10" customWidth="1"/>
    <col min="6" max="6" width="12" customWidth="1"/>
    <col min="7" max="10" width="14" customWidth="1"/>
    <col min="11" max="11" width="2" customWidth="1"/>
  </cols>
  <sheetData>
    <row r="1" spans="2:10" ht="39.75" customHeight="1" x14ac:dyDescent="0.3">
      <c r="B1" s="106" t="s">
        <v>424</v>
      </c>
      <c r="C1" s="106"/>
      <c r="D1" s="106"/>
      <c r="E1" s="106"/>
      <c r="F1" s="106"/>
      <c r="G1" s="106"/>
      <c r="H1" s="106"/>
      <c r="I1" s="106"/>
      <c r="J1" s="106"/>
    </row>
    <row r="2" spans="2:10" ht="21.75" customHeight="1" x14ac:dyDescent="0.3">
      <c r="B2" s="144" t="s">
        <v>425</v>
      </c>
      <c r="C2" s="144"/>
      <c r="D2" s="144"/>
      <c r="E2" s="144"/>
      <c r="F2" s="144"/>
      <c r="G2" s="144"/>
      <c r="H2" s="144"/>
      <c r="I2" s="144"/>
      <c r="J2" s="144"/>
    </row>
    <row r="3" spans="2:10" ht="7.5" customHeight="1" x14ac:dyDescent="0.3"/>
    <row r="4" spans="2:10" ht="30" customHeight="1" x14ac:dyDescent="0.3">
      <c r="B4" s="142" t="s">
        <v>426</v>
      </c>
      <c r="C4" s="142"/>
      <c r="D4" s="142"/>
      <c r="E4" s="142"/>
      <c r="F4" s="142"/>
      <c r="G4" s="142"/>
      <c r="H4" s="142"/>
      <c r="I4" s="142"/>
      <c r="J4" s="22">
        <f>J85</f>
        <v>49765000</v>
      </c>
    </row>
    <row r="5" spans="2:10" ht="7.5" customHeight="1" x14ac:dyDescent="0.3"/>
    <row r="6" spans="2:10" ht="31.5" customHeight="1" x14ac:dyDescent="0.3">
      <c r="B6" s="9" t="s">
        <v>65</v>
      </c>
      <c r="C6" s="9" t="s">
        <v>427</v>
      </c>
      <c r="D6" s="9" t="s">
        <v>25</v>
      </c>
      <c r="E6" s="9" t="s">
        <v>27</v>
      </c>
      <c r="F6" s="9" t="s">
        <v>428</v>
      </c>
      <c r="G6" s="9" t="s">
        <v>429</v>
      </c>
      <c r="H6" s="9" t="s">
        <v>430</v>
      </c>
      <c r="I6" s="9" t="s">
        <v>431</v>
      </c>
      <c r="J6" s="9" t="s">
        <v>432</v>
      </c>
    </row>
    <row r="7" spans="2:10" ht="25.5" customHeight="1" x14ac:dyDescent="0.3">
      <c r="B7" s="141" t="s">
        <v>433</v>
      </c>
      <c r="C7" s="141"/>
      <c r="D7" s="141"/>
      <c r="E7" s="141"/>
      <c r="F7" s="141"/>
      <c r="G7" s="141"/>
      <c r="H7" s="141"/>
      <c r="I7" s="141"/>
      <c r="J7" s="141"/>
    </row>
    <row r="8" spans="2:10" ht="21.75" customHeight="1" x14ac:dyDescent="0.3">
      <c r="B8" s="23" t="s">
        <v>434</v>
      </c>
      <c r="C8" s="24" t="s">
        <v>435</v>
      </c>
      <c r="D8" s="13" t="s">
        <v>31</v>
      </c>
      <c r="E8" s="13" t="s">
        <v>436</v>
      </c>
      <c r="F8" s="25">
        <v>1</v>
      </c>
      <c r="G8" s="26">
        <v>35000</v>
      </c>
      <c r="H8" s="47" t="s">
        <v>437</v>
      </c>
      <c r="I8" s="47">
        <v>18</v>
      </c>
      <c r="J8" s="27">
        <f>G8*I8</f>
        <v>630000</v>
      </c>
    </row>
    <row r="9" spans="2:10" ht="21.75" customHeight="1" x14ac:dyDescent="0.3">
      <c r="B9" s="31" t="s">
        <v>438</v>
      </c>
      <c r="C9" s="32" t="s">
        <v>439</v>
      </c>
      <c r="D9" s="19" t="s">
        <v>440</v>
      </c>
      <c r="E9" s="19" t="s">
        <v>436</v>
      </c>
      <c r="F9" s="33">
        <v>1</v>
      </c>
      <c r="G9" s="34">
        <v>150000</v>
      </c>
      <c r="H9" s="48" t="s">
        <v>437</v>
      </c>
      <c r="I9" s="48">
        <v>18</v>
      </c>
      <c r="J9" s="35">
        <f>G9*I9</f>
        <v>2700000</v>
      </c>
    </row>
    <row r="10" spans="2:10" ht="21.75" customHeight="1" x14ac:dyDescent="0.3">
      <c r="B10" s="23" t="s">
        <v>441</v>
      </c>
      <c r="C10" s="24" t="s">
        <v>442</v>
      </c>
      <c r="D10" s="13" t="s">
        <v>31</v>
      </c>
      <c r="E10" s="13" t="s">
        <v>443</v>
      </c>
      <c r="F10" s="25">
        <v>8</v>
      </c>
      <c r="G10" s="26">
        <v>3500</v>
      </c>
      <c r="H10" s="25">
        <v>5</v>
      </c>
      <c r="I10" s="49">
        <f t="shared" ref="I10:I17" si="0">F10*H10</f>
        <v>40</v>
      </c>
      <c r="J10" s="27">
        <f t="shared" ref="J10:J17" si="1">I10*G10</f>
        <v>140000</v>
      </c>
    </row>
    <row r="11" spans="2:10" ht="21.75" customHeight="1" x14ac:dyDescent="0.3">
      <c r="B11" s="31" t="s">
        <v>444</v>
      </c>
      <c r="C11" s="32" t="s">
        <v>445</v>
      </c>
      <c r="D11" s="19" t="s">
        <v>31</v>
      </c>
      <c r="E11" s="19" t="s">
        <v>446</v>
      </c>
      <c r="F11" s="33">
        <v>6</v>
      </c>
      <c r="G11" s="34">
        <v>4500</v>
      </c>
      <c r="H11" s="33">
        <v>10</v>
      </c>
      <c r="I11" s="50">
        <f t="shared" si="0"/>
        <v>60</v>
      </c>
      <c r="J11" s="35">
        <f t="shared" si="1"/>
        <v>270000</v>
      </c>
    </row>
    <row r="12" spans="2:10" ht="21.75" customHeight="1" x14ac:dyDescent="0.3">
      <c r="B12" s="23" t="s">
        <v>447</v>
      </c>
      <c r="C12" s="24" t="s">
        <v>448</v>
      </c>
      <c r="D12" s="13" t="s">
        <v>31</v>
      </c>
      <c r="E12" s="13" t="s">
        <v>449</v>
      </c>
      <c r="F12" s="25">
        <v>2</v>
      </c>
      <c r="G12" s="26">
        <v>5000</v>
      </c>
      <c r="H12" s="25">
        <v>2</v>
      </c>
      <c r="I12" s="49">
        <f t="shared" si="0"/>
        <v>4</v>
      </c>
      <c r="J12" s="27">
        <f t="shared" si="1"/>
        <v>20000</v>
      </c>
    </row>
    <row r="13" spans="2:10" ht="21.75" customHeight="1" x14ac:dyDescent="0.3">
      <c r="B13" s="31" t="s">
        <v>450</v>
      </c>
      <c r="C13" s="32" t="s">
        <v>451</v>
      </c>
      <c r="D13" s="19" t="s">
        <v>31</v>
      </c>
      <c r="E13" s="19" t="s">
        <v>443</v>
      </c>
      <c r="F13" s="33">
        <v>4</v>
      </c>
      <c r="G13" s="34">
        <v>3500</v>
      </c>
      <c r="H13" s="33">
        <v>5</v>
      </c>
      <c r="I13" s="50">
        <f t="shared" si="0"/>
        <v>20</v>
      </c>
      <c r="J13" s="35">
        <f t="shared" si="1"/>
        <v>70000</v>
      </c>
    </row>
    <row r="14" spans="2:10" ht="21.75" customHeight="1" x14ac:dyDescent="0.3">
      <c r="B14" s="23" t="s">
        <v>452</v>
      </c>
      <c r="C14" s="24" t="s">
        <v>453</v>
      </c>
      <c r="D14" s="13" t="s">
        <v>31</v>
      </c>
      <c r="E14" s="13" t="s">
        <v>454</v>
      </c>
      <c r="F14" s="25">
        <v>6</v>
      </c>
      <c r="G14" s="26">
        <v>4000</v>
      </c>
      <c r="H14" s="25">
        <v>3</v>
      </c>
      <c r="I14" s="49">
        <f t="shared" si="0"/>
        <v>18</v>
      </c>
      <c r="J14" s="27">
        <f t="shared" si="1"/>
        <v>72000</v>
      </c>
    </row>
    <row r="15" spans="2:10" ht="21.75" customHeight="1" x14ac:dyDescent="0.3">
      <c r="B15" s="31" t="s">
        <v>455</v>
      </c>
      <c r="C15" s="32" t="s">
        <v>456</v>
      </c>
      <c r="D15" s="19" t="s">
        <v>31</v>
      </c>
      <c r="E15" s="19" t="s">
        <v>443</v>
      </c>
      <c r="F15" s="33">
        <v>6</v>
      </c>
      <c r="G15" s="34">
        <v>4500</v>
      </c>
      <c r="H15" s="33">
        <v>5</v>
      </c>
      <c r="I15" s="50">
        <f t="shared" si="0"/>
        <v>30</v>
      </c>
      <c r="J15" s="35">
        <f t="shared" si="1"/>
        <v>135000</v>
      </c>
    </row>
    <row r="16" spans="2:10" ht="21.75" customHeight="1" x14ac:dyDescent="0.3">
      <c r="B16" s="23" t="s">
        <v>457</v>
      </c>
      <c r="C16" s="24" t="s">
        <v>458</v>
      </c>
      <c r="D16" s="13" t="s">
        <v>31</v>
      </c>
      <c r="E16" s="13" t="s">
        <v>454</v>
      </c>
      <c r="F16" s="25">
        <v>10</v>
      </c>
      <c r="G16" s="26">
        <v>5000</v>
      </c>
      <c r="H16" s="25">
        <v>3</v>
      </c>
      <c r="I16" s="49">
        <f t="shared" si="0"/>
        <v>30</v>
      </c>
      <c r="J16" s="27">
        <f t="shared" si="1"/>
        <v>150000</v>
      </c>
    </row>
    <row r="17" spans="2:10" ht="21.75" customHeight="1" x14ac:dyDescent="0.3">
      <c r="B17" s="31" t="s">
        <v>395</v>
      </c>
      <c r="C17" s="32" t="s">
        <v>459</v>
      </c>
      <c r="D17" s="19" t="s">
        <v>31</v>
      </c>
      <c r="E17" s="19" t="s">
        <v>460</v>
      </c>
      <c r="F17" s="33">
        <v>6</v>
      </c>
      <c r="G17" s="34">
        <v>4500</v>
      </c>
      <c r="H17" s="33">
        <v>4</v>
      </c>
      <c r="I17" s="50">
        <f t="shared" si="0"/>
        <v>24</v>
      </c>
      <c r="J17" s="35">
        <f t="shared" si="1"/>
        <v>108000</v>
      </c>
    </row>
    <row r="18" spans="2:10" ht="21.75" customHeight="1" x14ac:dyDescent="0.3">
      <c r="B18" s="143" t="s">
        <v>461</v>
      </c>
      <c r="C18" s="143"/>
      <c r="D18" s="143"/>
      <c r="E18" s="143"/>
      <c r="F18" s="143"/>
      <c r="G18" s="143"/>
      <c r="H18" s="143"/>
      <c r="I18" s="10"/>
      <c r="J18" s="38">
        <f>SUM(J8:J17)</f>
        <v>4295000</v>
      </c>
    </row>
    <row r="19" spans="2:10" x14ac:dyDescent="0.3">
      <c r="B19" s="10"/>
      <c r="C19" s="10"/>
      <c r="D19" s="10"/>
      <c r="E19" s="10"/>
      <c r="F19" s="10"/>
      <c r="G19" s="10"/>
      <c r="H19" s="10"/>
      <c r="I19" s="10"/>
      <c r="J19" s="10"/>
    </row>
    <row r="20" spans="2:10" ht="25.5" customHeight="1" x14ac:dyDescent="0.3">
      <c r="B20" s="141" t="s">
        <v>462</v>
      </c>
      <c r="C20" s="141"/>
      <c r="D20" s="141"/>
      <c r="E20" s="141"/>
      <c r="F20" s="141"/>
      <c r="G20" s="141"/>
      <c r="H20" s="141"/>
      <c r="I20" s="141"/>
      <c r="J20" s="141"/>
    </row>
    <row r="21" spans="2:10" ht="21.75" customHeight="1" x14ac:dyDescent="0.3">
      <c r="B21" s="31" t="s">
        <v>463</v>
      </c>
      <c r="C21" s="32" t="s">
        <v>464</v>
      </c>
      <c r="D21" s="19" t="s">
        <v>37</v>
      </c>
      <c r="E21" s="19" t="s">
        <v>465</v>
      </c>
      <c r="F21" s="33">
        <v>4</v>
      </c>
      <c r="G21" s="34">
        <v>8000</v>
      </c>
      <c r="H21" s="33">
        <v>30</v>
      </c>
      <c r="I21" s="50">
        <f t="shared" ref="I21:I28" si="2">F21*H21</f>
        <v>120</v>
      </c>
      <c r="J21" s="35">
        <f t="shared" ref="J21:J28" si="3">I21*G21</f>
        <v>960000</v>
      </c>
    </row>
    <row r="22" spans="2:10" ht="21.75" customHeight="1" x14ac:dyDescent="0.3">
      <c r="B22" s="23" t="s">
        <v>466</v>
      </c>
      <c r="C22" s="24" t="s">
        <v>467</v>
      </c>
      <c r="D22" s="13" t="s">
        <v>37</v>
      </c>
      <c r="E22" s="13" t="s">
        <v>465</v>
      </c>
      <c r="F22" s="25">
        <v>8</v>
      </c>
      <c r="G22" s="26">
        <v>4500</v>
      </c>
      <c r="H22" s="25">
        <v>30</v>
      </c>
      <c r="I22" s="49">
        <f t="shared" si="2"/>
        <v>240</v>
      </c>
      <c r="J22" s="27">
        <f t="shared" si="3"/>
        <v>1080000</v>
      </c>
    </row>
    <row r="23" spans="2:10" ht="21.75" customHeight="1" x14ac:dyDescent="0.3">
      <c r="B23" s="31" t="s">
        <v>468</v>
      </c>
      <c r="C23" s="32" t="s">
        <v>469</v>
      </c>
      <c r="D23" s="19" t="s">
        <v>43</v>
      </c>
      <c r="E23" s="19" t="s">
        <v>465</v>
      </c>
      <c r="F23" s="33">
        <v>4</v>
      </c>
      <c r="G23" s="34">
        <v>8000</v>
      </c>
      <c r="H23" s="33">
        <v>30</v>
      </c>
      <c r="I23" s="50">
        <f t="shared" si="2"/>
        <v>120</v>
      </c>
      <c r="J23" s="35">
        <f t="shared" si="3"/>
        <v>960000</v>
      </c>
    </row>
    <row r="24" spans="2:10" ht="21.75" customHeight="1" x14ac:dyDescent="0.3">
      <c r="B24" s="23" t="s">
        <v>470</v>
      </c>
      <c r="C24" s="24" t="s">
        <v>471</v>
      </c>
      <c r="D24" s="13" t="s">
        <v>43</v>
      </c>
      <c r="E24" s="13" t="s">
        <v>465</v>
      </c>
      <c r="F24" s="25">
        <v>8</v>
      </c>
      <c r="G24" s="26">
        <v>4500</v>
      </c>
      <c r="H24" s="25">
        <v>30</v>
      </c>
      <c r="I24" s="49">
        <f t="shared" si="2"/>
        <v>240</v>
      </c>
      <c r="J24" s="27">
        <f t="shared" si="3"/>
        <v>1080000</v>
      </c>
    </row>
    <row r="25" spans="2:10" ht="21.75" customHeight="1" x14ac:dyDescent="0.3">
      <c r="B25" s="31" t="s">
        <v>472</v>
      </c>
      <c r="C25" s="32" t="s">
        <v>473</v>
      </c>
      <c r="D25" s="19" t="s">
        <v>474</v>
      </c>
      <c r="E25" s="19" t="s">
        <v>475</v>
      </c>
      <c r="F25" s="33">
        <v>4</v>
      </c>
      <c r="G25" s="34">
        <v>7500</v>
      </c>
      <c r="H25" s="33">
        <v>40</v>
      </c>
      <c r="I25" s="50">
        <f t="shared" si="2"/>
        <v>160</v>
      </c>
      <c r="J25" s="35">
        <f t="shared" si="3"/>
        <v>1200000</v>
      </c>
    </row>
    <row r="26" spans="2:10" ht="21.75" customHeight="1" x14ac:dyDescent="0.3">
      <c r="B26" s="23" t="s">
        <v>476</v>
      </c>
      <c r="C26" s="24" t="s">
        <v>477</v>
      </c>
      <c r="D26" s="13" t="s">
        <v>474</v>
      </c>
      <c r="E26" s="13" t="s">
        <v>478</v>
      </c>
      <c r="F26" s="25">
        <v>4</v>
      </c>
      <c r="G26" s="26">
        <v>7000</v>
      </c>
      <c r="H26" s="25">
        <v>35</v>
      </c>
      <c r="I26" s="49">
        <f t="shared" si="2"/>
        <v>140</v>
      </c>
      <c r="J26" s="27">
        <f t="shared" si="3"/>
        <v>980000</v>
      </c>
    </row>
    <row r="27" spans="2:10" ht="21.75" customHeight="1" x14ac:dyDescent="0.3">
      <c r="B27" s="31" t="s">
        <v>479</v>
      </c>
      <c r="C27" s="32" t="s">
        <v>480</v>
      </c>
      <c r="D27" s="19" t="s">
        <v>474</v>
      </c>
      <c r="E27" s="19" t="s">
        <v>481</v>
      </c>
      <c r="F27" s="33">
        <v>8</v>
      </c>
      <c r="G27" s="34">
        <v>5000</v>
      </c>
      <c r="H27" s="33">
        <v>20</v>
      </c>
      <c r="I27" s="50">
        <f t="shared" si="2"/>
        <v>160</v>
      </c>
      <c r="J27" s="35">
        <f t="shared" si="3"/>
        <v>800000</v>
      </c>
    </row>
    <row r="28" spans="2:10" ht="21.75" customHeight="1" x14ac:dyDescent="0.3">
      <c r="B28" s="23" t="s">
        <v>482</v>
      </c>
      <c r="C28" s="24" t="s">
        <v>483</v>
      </c>
      <c r="D28" s="13" t="s">
        <v>474</v>
      </c>
      <c r="E28" s="13" t="s">
        <v>446</v>
      </c>
      <c r="F28" s="25">
        <v>6</v>
      </c>
      <c r="G28" s="26">
        <v>5000</v>
      </c>
      <c r="H28" s="25">
        <v>10</v>
      </c>
      <c r="I28" s="49">
        <f t="shared" si="2"/>
        <v>60</v>
      </c>
      <c r="J28" s="27">
        <f t="shared" si="3"/>
        <v>300000</v>
      </c>
    </row>
    <row r="29" spans="2:10" ht="21.75" customHeight="1" x14ac:dyDescent="0.3">
      <c r="B29" s="143" t="s">
        <v>484</v>
      </c>
      <c r="C29" s="143"/>
      <c r="D29" s="143"/>
      <c r="E29" s="143"/>
      <c r="F29" s="143"/>
      <c r="G29" s="143"/>
      <c r="H29" s="143"/>
      <c r="I29" s="10"/>
      <c r="J29" s="38">
        <f>SUM(J21:J28)</f>
        <v>7360000</v>
      </c>
    </row>
    <row r="30" spans="2:10" x14ac:dyDescent="0.3">
      <c r="B30" s="10"/>
      <c r="C30" s="10"/>
      <c r="D30" s="10"/>
      <c r="E30" s="10"/>
      <c r="F30" s="10"/>
      <c r="G30" s="10"/>
      <c r="H30" s="10"/>
      <c r="I30" s="10"/>
      <c r="J30" s="10"/>
    </row>
    <row r="31" spans="2:10" ht="25.5" customHeight="1" x14ac:dyDescent="0.3">
      <c r="B31" s="141" t="s">
        <v>485</v>
      </c>
      <c r="C31" s="141"/>
      <c r="D31" s="141"/>
      <c r="E31" s="141"/>
      <c r="F31" s="141"/>
      <c r="G31" s="141"/>
      <c r="H31" s="141"/>
      <c r="I31" s="141"/>
      <c r="J31" s="141"/>
    </row>
    <row r="32" spans="2:10" ht="21.75" customHeight="1" x14ac:dyDescent="0.3">
      <c r="B32" s="23" t="s">
        <v>486</v>
      </c>
      <c r="C32" s="24" t="s">
        <v>487</v>
      </c>
      <c r="D32" s="13" t="s">
        <v>47</v>
      </c>
      <c r="E32" s="13" t="s">
        <v>481</v>
      </c>
      <c r="F32" s="25">
        <v>2</v>
      </c>
      <c r="G32" s="26">
        <v>9000</v>
      </c>
      <c r="H32" s="25">
        <v>20</v>
      </c>
      <c r="I32" s="49">
        <f>F32*H32</f>
        <v>40</v>
      </c>
      <c r="J32" s="27">
        <f>I32*G32</f>
        <v>360000</v>
      </c>
    </row>
    <row r="33" spans="2:10" ht="21.75" customHeight="1" x14ac:dyDescent="0.3">
      <c r="B33" s="31" t="s">
        <v>488</v>
      </c>
      <c r="C33" s="32" t="s">
        <v>489</v>
      </c>
      <c r="D33" s="19" t="s">
        <v>47</v>
      </c>
      <c r="E33" s="19" t="s">
        <v>481</v>
      </c>
      <c r="F33" s="33">
        <v>4</v>
      </c>
      <c r="G33" s="34">
        <v>5000</v>
      </c>
      <c r="H33" s="33">
        <v>20</v>
      </c>
      <c r="I33" s="50">
        <f>F33*H33</f>
        <v>80</v>
      </c>
      <c r="J33" s="35">
        <f>I33*G33</f>
        <v>400000</v>
      </c>
    </row>
    <row r="34" spans="2:10" ht="21.75" customHeight="1" x14ac:dyDescent="0.3">
      <c r="B34" s="23" t="s">
        <v>490</v>
      </c>
      <c r="C34" s="24" t="s">
        <v>491</v>
      </c>
      <c r="D34" s="13" t="s">
        <v>47</v>
      </c>
      <c r="E34" s="13" t="s">
        <v>446</v>
      </c>
      <c r="F34" s="25">
        <v>4</v>
      </c>
      <c r="G34" s="26">
        <v>7000</v>
      </c>
      <c r="H34" s="25">
        <v>10</v>
      </c>
      <c r="I34" s="49">
        <f>F34*H34</f>
        <v>40</v>
      </c>
      <c r="J34" s="27">
        <f>I34*G34</f>
        <v>280000</v>
      </c>
    </row>
    <row r="35" spans="2:10" ht="21.75" customHeight="1" x14ac:dyDescent="0.3">
      <c r="B35" s="31" t="s">
        <v>492</v>
      </c>
      <c r="C35" s="32" t="s">
        <v>493</v>
      </c>
      <c r="D35" s="19" t="s">
        <v>47</v>
      </c>
      <c r="E35" s="19" t="s">
        <v>443</v>
      </c>
      <c r="F35" s="33">
        <v>3</v>
      </c>
      <c r="G35" s="34">
        <v>5500</v>
      </c>
      <c r="H35" s="33">
        <v>5</v>
      </c>
      <c r="I35" s="50">
        <f>F35*H35</f>
        <v>15</v>
      </c>
      <c r="J35" s="35">
        <f>I35*G35</f>
        <v>82500</v>
      </c>
    </row>
    <row r="36" spans="2:10" ht="21.75" customHeight="1" x14ac:dyDescent="0.3">
      <c r="B36" s="143" t="s">
        <v>494</v>
      </c>
      <c r="C36" s="143"/>
      <c r="D36" s="143"/>
      <c r="E36" s="143"/>
      <c r="F36" s="143"/>
      <c r="G36" s="143"/>
      <c r="H36" s="143"/>
      <c r="I36" s="10"/>
      <c r="J36" s="38">
        <f>SUM(J32:J35)</f>
        <v>1122500</v>
      </c>
    </row>
    <row r="37" spans="2:10" x14ac:dyDescent="0.3">
      <c r="B37" s="10"/>
      <c r="C37" s="10"/>
      <c r="D37" s="10"/>
      <c r="E37" s="10"/>
      <c r="F37" s="10"/>
      <c r="G37" s="10"/>
      <c r="H37" s="10"/>
      <c r="I37" s="10"/>
      <c r="J37" s="10"/>
    </row>
    <row r="38" spans="2:10" ht="25.5" customHeight="1" x14ac:dyDescent="0.3">
      <c r="B38" s="141" t="s">
        <v>495</v>
      </c>
      <c r="C38" s="141"/>
      <c r="D38" s="141"/>
      <c r="E38" s="141"/>
      <c r="F38" s="141"/>
      <c r="G38" s="141"/>
      <c r="H38" s="141"/>
      <c r="I38" s="141"/>
      <c r="J38" s="141"/>
    </row>
    <row r="39" spans="2:10" ht="21.75" customHeight="1" x14ac:dyDescent="0.3">
      <c r="B39" s="31" t="s">
        <v>496</v>
      </c>
      <c r="C39" s="32" t="s">
        <v>497</v>
      </c>
      <c r="D39" s="19" t="s">
        <v>52</v>
      </c>
      <c r="E39" s="19" t="s">
        <v>498</v>
      </c>
      <c r="F39" s="33">
        <v>1</v>
      </c>
      <c r="G39" s="34">
        <v>12000</v>
      </c>
      <c r="H39" s="33">
        <v>45</v>
      </c>
      <c r="I39" s="50">
        <f>F39*H39</f>
        <v>45</v>
      </c>
      <c r="J39" s="35">
        <f>I39*G39</f>
        <v>540000</v>
      </c>
    </row>
    <row r="40" spans="2:10" ht="21.75" customHeight="1" x14ac:dyDescent="0.3">
      <c r="B40" s="23" t="s">
        <v>499</v>
      </c>
      <c r="C40" s="24" t="s">
        <v>500</v>
      </c>
      <c r="D40" s="13" t="s">
        <v>52</v>
      </c>
      <c r="E40" s="13" t="s">
        <v>498</v>
      </c>
      <c r="F40" s="25">
        <v>2</v>
      </c>
      <c r="G40" s="26">
        <v>5500</v>
      </c>
      <c r="H40" s="25">
        <v>45</v>
      </c>
      <c r="I40" s="49">
        <f>F40*H40</f>
        <v>90</v>
      </c>
      <c r="J40" s="27">
        <f>I40*G40</f>
        <v>495000</v>
      </c>
    </row>
    <row r="41" spans="2:10" ht="21.75" customHeight="1" x14ac:dyDescent="0.3">
      <c r="B41" s="31" t="s">
        <v>501</v>
      </c>
      <c r="C41" s="32" t="s">
        <v>502</v>
      </c>
      <c r="D41" s="19" t="s">
        <v>52</v>
      </c>
      <c r="E41" s="19" t="s">
        <v>446</v>
      </c>
      <c r="F41" s="33">
        <v>4</v>
      </c>
      <c r="G41" s="34">
        <v>4500</v>
      </c>
      <c r="H41" s="33">
        <v>10</v>
      </c>
      <c r="I41" s="50">
        <f>F41*H41</f>
        <v>40</v>
      </c>
      <c r="J41" s="35">
        <f>I41*G41</f>
        <v>180000</v>
      </c>
    </row>
    <row r="42" spans="2:10" ht="21.75" customHeight="1" x14ac:dyDescent="0.3">
      <c r="B42" s="23" t="s">
        <v>503</v>
      </c>
      <c r="C42" s="24" t="s">
        <v>504</v>
      </c>
      <c r="D42" s="13" t="s">
        <v>52</v>
      </c>
      <c r="E42" s="13" t="s">
        <v>454</v>
      </c>
      <c r="F42" s="25">
        <v>3</v>
      </c>
      <c r="G42" s="26">
        <v>5000</v>
      </c>
      <c r="H42" s="25">
        <v>3</v>
      </c>
      <c r="I42" s="49">
        <f>F42*H42</f>
        <v>9</v>
      </c>
      <c r="J42" s="27">
        <f>I42*G42</f>
        <v>45000</v>
      </c>
    </row>
    <row r="43" spans="2:10" ht="21.75" customHeight="1" x14ac:dyDescent="0.3">
      <c r="B43" s="31" t="s">
        <v>505</v>
      </c>
      <c r="C43" s="32" t="s">
        <v>506</v>
      </c>
      <c r="D43" s="19" t="s">
        <v>52</v>
      </c>
      <c r="E43" s="19" t="s">
        <v>443</v>
      </c>
      <c r="F43" s="33">
        <v>3</v>
      </c>
      <c r="G43" s="34">
        <v>6000</v>
      </c>
      <c r="H43" s="33">
        <v>5</v>
      </c>
      <c r="I43" s="50">
        <f>F43*H43</f>
        <v>15</v>
      </c>
      <c r="J43" s="35">
        <f>I43*G43</f>
        <v>90000</v>
      </c>
    </row>
    <row r="44" spans="2:10" ht="21.75" customHeight="1" x14ac:dyDescent="0.3">
      <c r="B44" s="143" t="s">
        <v>507</v>
      </c>
      <c r="C44" s="143"/>
      <c r="D44" s="143"/>
      <c r="E44" s="143"/>
      <c r="F44" s="143"/>
      <c r="G44" s="143"/>
      <c r="H44" s="143"/>
      <c r="I44" s="10"/>
      <c r="J44" s="38">
        <f>SUM(J39:J43)</f>
        <v>1350000</v>
      </c>
    </row>
    <row r="45" spans="2:10" x14ac:dyDescent="0.3">
      <c r="B45" s="10"/>
      <c r="C45" s="10"/>
      <c r="D45" s="10"/>
      <c r="E45" s="10"/>
      <c r="F45" s="10"/>
      <c r="G45" s="10"/>
      <c r="H45" s="10"/>
      <c r="I45" s="10"/>
      <c r="J45" s="10"/>
    </row>
    <row r="46" spans="2:10" ht="25.5" customHeight="1" x14ac:dyDescent="0.3">
      <c r="B46" s="141" t="s">
        <v>508</v>
      </c>
      <c r="C46" s="141"/>
      <c r="D46" s="141"/>
      <c r="E46" s="141"/>
      <c r="F46" s="141"/>
      <c r="G46" s="141"/>
      <c r="H46" s="141"/>
      <c r="I46" s="141"/>
      <c r="J46" s="141"/>
    </row>
    <row r="47" spans="2:10" ht="21.75" customHeight="1" x14ac:dyDescent="0.3">
      <c r="B47" s="31" t="s">
        <v>509</v>
      </c>
      <c r="C47" s="32" t="s">
        <v>510</v>
      </c>
      <c r="D47" s="19" t="s">
        <v>52</v>
      </c>
      <c r="E47" s="19" t="s">
        <v>511</v>
      </c>
      <c r="F47" s="33">
        <v>1</v>
      </c>
      <c r="G47" s="34">
        <v>15000</v>
      </c>
      <c r="H47" s="33">
        <v>50</v>
      </c>
      <c r="I47" s="50">
        <f>F47*H47</f>
        <v>50</v>
      </c>
      <c r="J47" s="35">
        <f>I47*G47</f>
        <v>750000</v>
      </c>
    </row>
    <row r="48" spans="2:10" ht="21.75" customHeight="1" x14ac:dyDescent="0.3">
      <c r="B48" s="23" t="s">
        <v>512</v>
      </c>
      <c r="C48" s="24" t="s">
        <v>513</v>
      </c>
      <c r="D48" s="13" t="s">
        <v>52</v>
      </c>
      <c r="E48" s="13" t="s">
        <v>511</v>
      </c>
      <c r="F48" s="25">
        <v>2</v>
      </c>
      <c r="G48" s="26">
        <v>6000</v>
      </c>
      <c r="H48" s="25">
        <v>50</v>
      </c>
      <c r="I48" s="49">
        <f>F48*H48</f>
        <v>100</v>
      </c>
      <c r="J48" s="27">
        <f>I48*G48</f>
        <v>600000</v>
      </c>
    </row>
    <row r="49" spans="2:10" ht="21.75" customHeight="1" x14ac:dyDescent="0.3">
      <c r="B49" s="31" t="s">
        <v>514</v>
      </c>
      <c r="C49" s="32" t="s">
        <v>515</v>
      </c>
      <c r="D49" s="19" t="s">
        <v>52</v>
      </c>
      <c r="E49" s="19" t="s">
        <v>443</v>
      </c>
      <c r="F49" s="33">
        <v>2</v>
      </c>
      <c r="G49" s="34">
        <v>12000</v>
      </c>
      <c r="H49" s="33">
        <v>5</v>
      </c>
      <c r="I49" s="50">
        <f>F49*H49</f>
        <v>10</v>
      </c>
      <c r="J49" s="35">
        <f>I49*G49</f>
        <v>120000</v>
      </c>
    </row>
    <row r="50" spans="2:10" ht="21.75" customHeight="1" x14ac:dyDescent="0.3">
      <c r="B50" s="23" t="s">
        <v>516</v>
      </c>
      <c r="C50" s="24" t="s">
        <v>517</v>
      </c>
      <c r="D50" s="13" t="s">
        <v>52</v>
      </c>
      <c r="E50" s="13" t="s">
        <v>449</v>
      </c>
      <c r="F50" s="25">
        <v>1</v>
      </c>
      <c r="G50" s="26">
        <v>25000</v>
      </c>
      <c r="H50" s="25">
        <v>2</v>
      </c>
      <c r="I50" s="49">
        <f>F50*H50</f>
        <v>2</v>
      </c>
      <c r="J50" s="27">
        <f>I50*G50</f>
        <v>50000</v>
      </c>
    </row>
    <row r="51" spans="2:10" ht="21.75" customHeight="1" x14ac:dyDescent="0.3">
      <c r="B51" s="143" t="s">
        <v>518</v>
      </c>
      <c r="C51" s="143"/>
      <c r="D51" s="143"/>
      <c r="E51" s="143"/>
      <c r="F51" s="143"/>
      <c r="G51" s="143"/>
      <c r="H51" s="143"/>
      <c r="I51" s="10"/>
      <c r="J51" s="38">
        <f>SUM(J47:J50)</f>
        <v>1520000</v>
      </c>
    </row>
    <row r="52" spans="2:10" x14ac:dyDescent="0.3">
      <c r="B52" s="10"/>
      <c r="C52" s="10"/>
      <c r="D52" s="10"/>
      <c r="E52" s="10"/>
      <c r="F52" s="10"/>
      <c r="G52" s="10"/>
      <c r="H52" s="10"/>
      <c r="I52" s="10"/>
      <c r="J52" s="10"/>
    </row>
    <row r="53" spans="2:10" ht="25.5" customHeight="1" x14ac:dyDescent="0.3">
      <c r="B53" s="141" t="s">
        <v>519</v>
      </c>
      <c r="C53" s="141"/>
      <c r="D53" s="141"/>
      <c r="E53" s="141"/>
      <c r="F53" s="141"/>
      <c r="G53" s="141"/>
      <c r="H53" s="141"/>
      <c r="I53" s="141"/>
      <c r="J53" s="141"/>
    </row>
    <row r="54" spans="2:10" ht="21.75" customHeight="1" x14ac:dyDescent="0.3">
      <c r="B54" s="23" t="s">
        <v>520</v>
      </c>
      <c r="C54" s="24" t="s">
        <v>521</v>
      </c>
      <c r="D54" s="13" t="s">
        <v>57</v>
      </c>
      <c r="E54" s="13" t="s">
        <v>498</v>
      </c>
      <c r="F54" s="25">
        <v>2</v>
      </c>
      <c r="G54" s="26">
        <v>8500</v>
      </c>
      <c r="H54" s="25">
        <v>45</v>
      </c>
      <c r="I54" s="49">
        <f>F54*H54</f>
        <v>90</v>
      </c>
      <c r="J54" s="27">
        <f>I54*G54</f>
        <v>765000</v>
      </c>
    </row>
    <row r="55" spans="2:10" ht="21.75" customHeight="1" x14ac:dyDescent="0.3">
      <c r="B55" s="31" t="s">
        <v>522</v>
      </c>
      <c r="C55" s="32" t="s">
        <v>523</v>
      </c>
      <c r="D55" s="19" t="s">
        <v>57</v>
      </c>
      <c r="E55" s="19" t="s">
        <v>498</v>
      </c>
      <c r="F55" s="33">
        <v>6</v>
      </c>
      <c r="G55" s="34">
        <v>4000</v>
      </c>
      <c r="H55" s="33">
        <v>45</v>
      </c>
      <c r="I55" s="50">
        <f>F55*H55</f>
        <v>270</v>
      </c>
      <c r="J55" s="35">
        <f>I55*G55</f>
        <v>1080000</v>
      </c>
    </row>
    <row r="56" spans="2:10" ht="21.75" customHeight="1" x14ac:dyDescent="0.3">
      <c r="B56" s="23" t="s">
        <v>524</v>
      </c>
      <c r="C56" s="24" t="s">
        <v>525</v>
      </c>
      <c r="D56" s="13" t="s">
        <v>57</v>
      </c>
      <c r="E56" s="13" t="s">
        <v>446</v>
      </c>
      <c r="F56" s="25">
        <v>4</v>
      </c>
      <c r="G56" s="26">
        <v>5000</v>
      </c>
      <c r="H56" s="25">
        <v>10</v>
      </c>
      <c r="I56" s="49">
        <f>F56*H56</f>
        <v>40</v>
      </c>
      <c r="J56" s="27">
        <f>I56*G56</f>
        <v>200000</v>
      </c>
    </row>
    <row r="57" spans="2:10" ht="21.75" customHeight="1" x14ac:dyDescent="0.3">
      <c r="B57" s="31" t="s">
        <v>526</v>
      </c>
      <c r="C57" s="32" t="s">
        <v>527</v>
      </c>
      <c r="D57" s="19" t="s">
        <v>57</v>
      </c>
      <c r="E57" s="19" t="s">
        <v>528</v>
      </c>
      <c r="F57" s="33">
        <v>3</v>
      </c>
      <c r="G57" s="34">
        <v>8000</v>
      </c>
      <c r="H57" s="33">
        <v>15</v>
      </c>
      <c r="I57" s="50">
        <f>F57*H57</f>
        <v>45</v>
      </c>
      <c r="J57" s="35">
        <f>I57*G57</f>
        <v>360000</v>
      </c>
    </row>
    <row r="58" spans="2:10" ht="21.75" customHeight="1" x14ac:dyDescent="0.3">
      <c r="B58" s="143" t="s">
        <v>529</v>
      </c>
      <c r="C58" s="143"/>
      <c r="D58" s="143"/>
      <c r="E58" s="143"/>
      <c r="F58" s="143"/>
      <c r="G58" s="143"/>
      <c r="H58" s="143"/>
      <c r="I58" s="10"/>
      <c r="J58" s="38">
        <f>SUM(J54:J57)</f>
        <v>2405000</v>
      </c>
    </row>
    <row r="59" spans="2:10" x14ac:dyDescent="0.3">
      <c r="B59" s="10"/>
      <c r="C59" s="10"/>
      <c r="D59" s="10"/>
      <c r="E59" s="10"/>
      <c r="F59" s="10"/>
      <c r="G59" s="10"/>
      <c r="H59" s="10"/>
      <c r="I59" s="10"/>
      <c r="J59" s="10"/>
    </row>
    <row r="60" spans="2:10" ht="25.5" customHeight="1" x14ac:dyDescent="0.3">
      <c r="B60" s="141" t="s">
        <v>530</v>
      </c>
      <c r="C60" s="141"/>
      <c r="D60" s="141"/>
      <c r="E60" s="141"/>
      <c r="F60" s="141"/>
      <c r="G60" s="141"/>
      <c r="H60" s="141"/>
      <c r="I60" s="141"/>
      <c r="J60" s="141"/>
    </row>
    <row r="61" spans="2:10" ht="21.75" customHeight="1" x14ac:dyDescent="0.3">
      <c r="B61" s="31" t="s">
        <v>531</v>
      </c>
      <c r="C61" s="32" t="s">
        <v>532</v>
      </c>
      <c r="D61" s="19" t="s">
        <v>57</v>
      </c>
      <c r="E61" s="19" t="s">
        <v>475</v>
      </c>
      <c r="F61" s="33">
        <v>2</v>
      </c>
      <c r="G61" s="34">
        <v>10000</v>
      </c>
      <c r="H61" s="33">
        <v>40</v>
      </c>
      <c r="I61" s="50">
        <f>F61*H61</f>
        <v>80</v>
      </c>
      <c r="J61" s="35">
        <f>I61*G61</f>
        <v>800000</v>
      </c>
    </row>
    <row r="62" spans="2:10" ht="21.75" customHeight="1" x14ac:dyDescent="0.3">
      <c r="B62" s="23" t="s">
        <v>533</v>
      </c>
      <c r="C62" s="24" t="s">
        <v>534</v>
      </c>
      <c r="D62" s="13" t="s">
        <v>57</v>
      </c>
      <c r="E62" s="13" t="s">
        <v>475</v>
      </c>
      <c r="F62" s="25">
        <v>4</v>
      </c>
      <c r="G62" s="26">
        <v>4500</v>
      </c>
      <c r="H62" s="25">
        <v>40</v>
      </c>
      <c r="I62" s="49">
        <f>F62*H62</f>
        <v>160</v>
      </c>
      <c r="J62" s="27">
        <f>I62*G62</f>
        <v>720000</v>
      </c>
    </row>
    <row r="63" spans="2:10" ht="21.75" customHeight="1" x14ac:dyDescent="0.3">
      <c r="B63" s="143" t="s">
        <v>535</v>
      </c>
      <c r="C63" s="143"/>
      <c r="D63" s="143"/>
      <c r="E63" s="143"/>
      <c r="F63" s="143"/>
      <c r="G63" s="143"/>
      <c r="H63" s="143"/>
      <c r="I63" s="10"/>
      <c r="J63" s="38">
        <f>SUM(J61:J62)</f>
        <v>1520000</v>
      </c>
    </row>
    <row r="64" spans="2:10" x14ac:dyDescent="0.3">
      <c r="B64" s="10"/>
      <c r="C64" s="10"/>
      <c r="D64" s="10"/>
      <c r="E64" s="10"/>
      <c r="F64" s="10"/>
      <c r="G64" s="10"/>
      <c r="H64" s="10"/>
      <c r="I64" s="10"/>
      <c r="J64" s="10"/>
    </row>
    <row r="65" spans="2:10" ht="25.5" customHeight="1" x14ac:dyDescent="0.3">
      <c r="B65" s="141" t="s">
        <v>536</v>
      </c>
      <c r="C65" s="141"/>
      <c r="D65" s="141"/>
      <c r="E65" s="141"/>
      <c r="F65" s="141"/>
      <c r="G65" s="141"/>
      <c r="H65" s="141"/>
      <c r="I65" s="141"/>
      <c r="J65" s="141"/>
    </row>
    <row r="66" spans="2:10" ht="21.75" customHeight="1" x14ac:dyDescent="0.3">
      <c r="B66" s="23" t="s">
        <v>537</v>
      </c>
      <c r="C66" s="24" t="s">
        <v>538</v>
      </c>
      <c r="D66" s="13" t="s">
        <v>57</v>
      </c>
      <c r="E66" s="13" t="s">
        <v>465</v>
      </c>
      <c r="F66" s="25">
        <v>2</v>
      </c>
      <c r="G66" s="26">
        <v>8500</v>
      </c>
      <c r="H66" s="25">
        <v>30</v>
      </c>
      <c r="I66" s="49">
        <f>F66*H66</f>
        <v>60</v>
      </c>
      <c r="J66" s="27">
        <f>I66*G66</f>
        <v>510000</v>
      </c>
    </row>
    <row r="67" spans="2:10" ht="21.75" customHeight="1" x14ac:dyDescent="0.3">
      <c r="B67" s="31" t="s">
        <v>539</v>
      </c>
      <c r="C67" s="32" t="s">
        <v>540</v>
      </c>
      <c r="D67" s="19" t="s">
        <v>57</v>
      </c>
      <c r="E67" s="19" t="s">
        <v>465</v>
      </c>
      <c r="F67" s="33">
        <v>4</v>
      </c>
      <c r="G67" s="34">
        <v>4000</v>
      </c>
      <c r="H67" s="33">
        <v>30</v>
      </c>
      <c r="I67" s="50">
        <f>F67*H67</f>
        <v>120</v>
      </c>
      <c r="J67" s="35">
        <f>I67*G67</f>
        <v>480000</v>
      </c>
    </row>
    <row r="68" spans="2:10" ht="21.75" customHeight="1" x14ac:dyDescent="0.3">
      <c r="B68" s="143" t="s">
        <v>541</v>
      </c>
      <c r="C68" s="143"/>
      <c r="D68" s="143"/>
      <c r="E68" s="143"/>
      <c r="F68" s="143"/>
      <c r="G68" s="143"/>
      <c r="H68" s="143"/>
      <c r="I68" s="10"/>
      <c r="J68" s="38">
        <f>SUM(J66:J67)</f>
        <v>990000</v>
      </c>
    </row>
    <row r="69" spans="2:10" x14ac:dyDescent="0.3">
      <c r="B69" s="10"/>
      <c r="C69" s="10"/>
      <c r="D69" s="10"/>
      <c r="E69" s="10"/>
      <c r="F69" s="10"/>
      <c r="G69" s="10"/>
      <c r="H69" s="10"/>
      <c r="I69" s="10"/>
      <c r="J69" s="10"/>
    </row>
    <row r="70" spans="2:10" ht="25.5" customHeight="1" x14ac:dyDescent="0.3">
      <c r="B70" s="141" t="s">
        <v>542</v>
      </c>
      <c r="C70" s="141"/>
      <c r="D70" s="141"/>
      <c r="E70" s="141"/>
      <c r="F70" s="141"/>
      <c r="G70" s="141"/>
      <c r="H70" s="141"/>
      <c r="I70" s="141"/>
      <c r="J70" s="141"/>
    </row>
    <row r="71" spans="2:10" ht="21.75" customHeight="1" x14ac:dyDescent="0.3">
      <c r="B71" s="31" t="s">
        <v>543</v>
      </c>
      <c r="C71" s="32" t="s">
        <v>544</v>
      </c>
      <c r="D71" s="19" t="s">
        <v>57</v>
      </c>
      <c r="E71" s="19" t="s">
        <v>528</v>
      </c>
      <c r="F71" s="33">
        <v>2</v>
      </c>
      <c r="G71" s="34">
        <v>10000</v>
      </c>
      <c r="H71" s="33">
        <v>15</v>
      </c>
      <c r="I71" s="50">
        <f>F71*H71</f>
        <v>30</v>
      </c>
      <c r="J71" s="35">
        <f>I71*G71</f>
        <v>300000</v>
      </c>
    </row>
    <row r="72" spans="2:10" ht="21.75" customHeight="1" x14ac:dyDescent="0.3">
      <c r="B72" s="23" t="s">
        <v>545</v>
      </c>
      <c r="C72" s="24" t="s">
        <v>546</v>
      </c>
      <c r="D72" s="13" t="s">
        <v>57</v>
      </c>
      <c r="E72" s="13" t="s">
        <v>446</v>
      </c>
      <c r="F72" s="25">
        <v>4</v>
      </c>
      <c r="G72" s="26">
        <v>6000</v>
      </c>
      <c r="H72" s="25">
        <v>10</v>
      </c>
      <c r="I72" s="49">
        <f>F72*H72</f>
        <v>40</v>
      </c>
      <c r="J72" s="27">
        <f>I72*G72</f>
        <v>240000</v>
      </c>
    </row>
    <row r="73" spans="2:10" ht="21.75" customHeight="1" x14ac:dyDescent="0.3">
      <c r="B73" s="31" t="s">
        <v>547</v>
      </c>
      <c r="C73" s="32" t="s">
        <v>548</v>
      </c>
      <c r="D73" s="19" t="s">
        <v>57</v>
      </c>
      <c r="E73" s="19" t="s">
        <v>443</v>
      </c>
      <c r="F73" s="33">
        <v>3</v>
      </c>
      <c r="G73" s="34">
        <v>8000</v>
      </c>
      <c r="H73" s="33">
        <v>5</v>
      </c>
      <c r="I73" s="50">
        <f>F73*H73</f>
        <v>15</v>
      </c>
      <c r="J73" s="35">
        <f>I73*G73</f>
        <v>120000</v>
      </c>
    </row>
    <row r="74" spans="2:10" ht="21.75" customHeight="1" x14ac:dyDescent="0.3">
      <c r="B74" s="143" t="s">
        <v>549</v>
      </c>
      <c r="C74" s="143"/>
      <c r="D74" s="143"/>
      <c r="E74" s="143"/>
      <c r="F74" s="143"/>
      <c r="G74" s="143"/>
      <c r="H74" s="143"/>
      <c r="I74" s="10"/>
      <c r="J74" s="38">
        <f>SUM(J71:J73)</f>
        <v>660000</v>
      </c>
    </row>
    <row r="75" spans="2:10" x14ac:dyDescent="0.3">
      <c r="B75" s="10"/>
      <c r="C75" s="10"/>
      <c r="D75" s="10"/>
      <c r="E75" s="10"/>
      <c r="F75" s="10"/>
      <c r="G75" s="10"/>
      <c r="H75" s="10"/>
      <c r="I75" s="10"/>
      <c r="J75" s="10"/>
    </row>
    <row r="76" spans="2:10" ht="25.5" customHeight="1" x14ac:dyDescent="0.3">
      <c r="B76" s="141" t="s">
        <v>550</v>
      </c>
      <c r="C76" s="141"/>
      <c r="D76" s="141"/>
      <c r="E76" s="141"/>
      <c r="F76" s="141"/>
      <c r="G76" s="141"/>
      <c r="H76" s="141"/>
      <c r="I76" s="141"/>
      <c r="J76" s="141"/>
    </row>
    <row r="77" spans="2:10" ht="21.75" customHeight="1" x14ac:dyDescent="0.3">
      <c r="B77" s="31" t="s">
        <v>551</v>
      </c>
      <c r="C77" s="32" t="s">
        <v>552</v>
      </c>
      <c r="D77" s="19" t="s">
        <v>57</v>
      </c>
      <c r="E77" s="19" t="s">
        <v>481</v>
      </c>
      <c r="F77" s="33">
        <v>6</v>
      </c>
      <c r="G77" s="34">
        <v>5000</v>
      </c>
      <c r="H77" s="33">
        <v>20</v>
      </c>
      <c r="I77" s="50">
        <f>F77*H77</f>
        <v>120</v>
      </c>
      <c r="J77" s="35">
        <f>I77*G77</f>
        <v>600000</v>
      </c>
    </row>
    <row r="78" spans="2:10" ht="21.75" customHeight="1" x14ac:dyDescent="0.3">
      <c r="B78" s="23" t="s">
        <v>553</v>
      </c>
      <c r="C78" s="24" t="s">
        <v>554</v>
      </c>
      <c r="D78" s="13" t="s">
        <v>57</v>
      </c>
      <c r="E78" s="13" t="s">
        <v>443</v>
      </c>
      <c r="F78" s="25">
        <v>3</v>
      </c>
      <c r="G78" s="26">
        <v>8000</v>
      </c>
      <c r="H78" s="25">
        <v>5</v>
      </c>
      <c r="I78" s="49">
        <f>F78*H78</f>
        <v>15</v>
      </c>
      <c r="J78" s="27">
        <f>I78*G78</f>
        <v>120000</v>
      </c>
    </row>
    <row r="79" spans="2:10" ht="21.75" customHeight="1" x14ac:dyDescent="0.3">
      <c r="B79" s="31" t="s">
        <v>555</v>
      </c>
      <c r="C79" s="32" t="s">
        <v>556</v>
      </c>
      <c r="D79" s="19" t="s">
        <v>57</v>
      </c>
      <c r="E79" s="19" t="s">
        <v>528</v>
      </c>
      <c r="F79" s="33">
        <v>4</v>
      </c>
      <c r="G79" s="34">
        <v>5500</v>
      </c>
      <c r="H79" s="33">
        <v>15</v>
      </c>
      <c r="I79" s="50">
        <f>F79*H79</f>
        <v>60</v>
      </c>
      <c r="J79" s="35">
        <f>I79*G79</f>
        <v>330000</v>
      </c>
    </row>
    <row r="80" spans="2:10" ht="21.75" customHeight="1" x14ac:dyDescent="0.3">
      <c r="B80" s="23" t="s">
        <v>557</v>
      </c>
      <c r="C80" s="24" t="s">
        <v>558</v>
      </c>
      <c r="D80" s="13" t="s">
        <v>559</v>
      </c>
      <c r="E80" s="13" t="s">
        <v>560</v>
      </c>
      <c r="F80" s="25">
        <v>2</v>
      </c>
      <c r="G80" s="26">
        <v>3500</v>
      </c>
      <c r="H80" s="25">
        <v>180</v>
      </c>
      <c r="I80" s="49">
        <f>F80*H80</f>
        <v>360</v>
      </c>
      <c r="J80" s="27">
        <f>I80*G80</f>
        <v>1260000</v>
      </c>
    </row>
    <row r="81" spans="2:10" ht="21.75" customHeight="1" x14ac:dyDescent="0.3">
      <c r="B81" s="31" t="s">
        <v>561</v>
      </c>
      <c r="C81" s="32" t="s">
        <v>562</v>
      </c>
      <c r="D81" s="19" t="s">
        <v>559</v>
      </c>
      <c r="E81" s="19" t="s">
        <v>563</v>
      </c>
      <c r="F81" s="33">
        <v>1</v>
      </c>
      <c r="G81" s="34">
        <v>2500</v>
      </c>
      <c r="H81" s="33">
        <v>540</v>
      </c>
      <c r="I81" s="50">
        <f>F81*H81</f>
        <v>540</v>
      </c>
      <c r="J81" s="35">
        <f>I81*G81</f>
        <v>1350000</v>
      </c>
    </row>
    <row r="82" spans="2:10" ht="21.75" customHeight="1" x14ac:dyDescent="0.3">
      <c r="B82" s="143" t="s">
        <v>564</v>
      </c>
      <c r="C82" s="143"/>
      <c r="D82" s="143"/>
      <c r="E82" s="143"/>
      <c r="F82" s="143"/>
      <c r="G82" s="143"/>
      <c r="H82" s="143"/>
      <c r="I82" s="10"/>
      <c r="J82" s="38">
        <f>SUM(J77:J81)</f>
        <v>3660000</v>
      </c>
    </row>
    <row r="83" spans="2:10" x14ac:dyDescent="0.3">
      <c r="B83" s="10"/>
      <c r="C83" s="10"/>
      <c r="D83" s="10"/>
      <c r="E83" s="10"/>
      <c r="F83" s="10"/>
      <c r="G83" s="10"/>
      <c r="H83" s="10"/>
      <c r="I83" s="10"/>
      <c r="J83" s="10"/>
    </row>
    <row r="84" spans="2:10" x14ac:dyDescent="0.3">
      <c r="B84" s="10"/>
      <c r="C84" s="10"/>
      <c r="D84" s="10"/>
      <c r="E84" s="10"/>
      <c r="F84" s="10"/>
      <c r="G84" s="10"/>
      <c r="H84" s="10"/>
      <c r="I84" s="10"/>
      <c r="J84" s="10"/>
    </row>
    <row r="85" spans="2:10" ht="31.5" customHeight="1" x14ac:dyDescent="0.3">
      <c r="B85" s="139" t="s">
        <v>565</v>
      </c>
      <c r="C85" s="139"/>
      <c r="D85" s="139"/>
      <c r="E85" s="139"/>
      <c r="F85" s="139"/>
      <c r="G85" s="139"/>
      <c r="H85" s="139"/>
      <c r="I85" s="139"/>
      <c r="J85" s="46">
        <f>SUM(J7:J83)</f>
        <v>49765000</v>
      </c>
    </row>
  </sheetData>
  <mergeCells count="24">
    <mergeCell ref="B1:J1"/>
    <mergeCell ref="B2:J2"/>
    <mergeCell ref="B4:I4"/>
    <mergeCell ref="B7:J7"/>
    <mergeCell ref="B18:H18"/>
    <mergeCell ref="B20:J20"/>
    <mergeCell ref="B29:H29"/>
    <mergeCell ref="B31:J31"/>
    <mergeCell ref="B36:H36"/>
    <mergeCell ref="B38:J38"/>
    <mergeCell ref="B44:H44"/>
    <mergeCell ref="B46:J46"/>
    <mergeCell ref="B51:H51"/>
    <mergeCell ref="B53:J53"/>
    <mergeCell ref="B58:H58"/>
    <mergeCell ref="B74:H74"/>
    <mergeCell ref="B76:J76"/>
    <mergeCell ref="B82:H82"/>
    <mergeCell ref="B85:I85"/>
    <mergeCell ref="B60:J60"/>
    <mergeCell ref="B63:H63"/>
    <mergeCell ref="B65:J65"/>
    <mergeCell ref="B68:H68"/>
    <mergeCell ref="B70:J7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400E"/>
  </sheetPr>
  <dimension ref="B1:L67"/>
  <sheetViews>
    <sheetView showGridLines="0" tabSelected="1" zoomScaleNormal="100" workbookViewId="0"/>
  </sheetViews>
  <sheetFormatPr defaultColWidth="8.6640625" defaultRowHeight="14.4" x14ac:dyDescent="0.3"/>
  <cols>
    <col min="1" max="1" width="2" customWidth="1"/>
    <col min="2" max="2" width="10" customWidth="1"/>
    <col min="3" max="3" width="26" customWidth="1"/>
    <col min="4" max="4" width="16" customWidth="1"/>
    <col min="5" max="5" width="12" customWidth="1"/>
    <col min="6" max="9" width="10" customWidth="1"/>
    <col min="10" max="10" width="12" customWidth="1"/>
    <col min="11" max="12" width="14" customWidth="1"/>
    <col min="13" max="13" width="2" customWidth="1"/>
  </cols>
  <sheetData>
    <row r="1" spans="2:12" ht="39.75" customHeight="1" x14ac:dyDescent="0.3">
      <c r="B1" s="106" t="s">
        <v>566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2:12" ht="21.75" customHeight="1" x14ac:dyDescent="0.3">
      <c r="B2" s="107" t="s">
        <v>567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ht="7.5" customHeight="1" x14ac:dyDescent="0.3"/>
    <row r="4" spans="2:12" ht="24" customHeight="1" x14ac:dyDescent="0.3">
      <c r="B4" s="147" t="s">
        <v>568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2:12" ht="24" customHeight="1" x14ac:dyDescent="0.3">
      <c r="B5" s="10"/>
      <c r="C5" s="9" t="s">
        <v>569</v>
      </c>
      <c r="D5" s="9" t="s">
        <v>570</v>
      </c>
      <c r="E5" s="148"/>
      <c r="F5" s="148"/>
      <c r="G5" s="148"/>
      <c r="H5" s="148"/>
      <c r="I5" s="148"/>
      <c r="J5" s="148"/>
      <c r="K5" s="148"/>
      <c r="L5" s="148"/>
    </row>
    <row r="6" spans="2:12" ht="21.75" customHeight="1" x14ac:dyDescent="0.3">
      <c r="B6" s="21" t="s">
        <v>124</v>
      </c>
      <c r="C6" s="12" t="s">
        <v>571</v>
      </c>
      <c r="D6" s="51" t="s">
        <v>572</v>
      </c>
      <c r="E6" s="113" t="s">
        <v>573</v>
      </c>
      <c r="F6" s="113"/>
      <c r="G6" s="113"/>
      <c r="H6" s="113"/>
      <c r="I6" s="113"/>
      <c r="J6" s="113"/>
      <c r="K6" s="113"/>
      <c r="L6" s="113"/>
    </row>
    <row r="7" spans="2:12" ht="21.75" customHeight="1" x14ac:dyDescent="0.3">
      <c r="B7" s="21" t="s">
        <v>127</v>
      </c>
      <c r="C7" s="18" t="s">
        <v>574</v>
      </c>
      <c r="D7" s="51" t="s">
        <v>575</v>
      </c>
      <c r="E7" s="115" t="s">
        <v>576</v>
      </c>
      <c r="F7" s="115"/>
      <c r="G7" s="115"/>
      <c r="H7" s="115"/>
      <c r="I7" s="115"/>
      <c r="J7" s="115"/>
      <c r="K7" s="115"/>
      <c r="L7" s="115"/>
    </row>
    <row r="8" spans="2:12" ht="21.75" customHeight="1" x14ac:dyDescent="0.3">
      <c r="B8" s="21" t="s">
        <v>129</v>
      </c>
      <c r="C8" s="12" t="s">
        <v>577</v>
      </c>
      <c r="D8" s="51" t="s">
        <v>578</v>
      </c>
      <c r="E8" s="113" t="s">
        <v>579</v>
      </c>
      <c r="F8" s="113"/>
      <c r="G8" s="113"/>
      <c r="H8" s="113"/>
      <c r="I8" s="113"/>
      <c r="J8" s="113"/>
      <c r="K8" s="113"/>
      <c r="L8" s="113"/>
    </row>
    <row r="9" spans="2:12" ht="21.75" customHeight="1" x14ac:dyDescent="0.3">
      <c r="B9" s="21" t="s">
        <v>131</v>
      </c>
      <c r="C9" s="18" t="s">
        <v>580</v>
      </c>
      <c r="D9" s="51" t="s">
        <v>581</v>
      </c>
      <c r="E9" s="115" t="s">
        <v>582</v>
      </c>
      <c r="F9" s="115"/>
      <c r="G9" s="115"/>
      <c r="H9" s="115"/>
      <c r="I9" s="115"/>
      <c r="J9" s="115"/>
      <c r="K9" s="115"/>
      <c r="L9" s="115"/>
    </row>
    <row r="10" spans="2:12" ht="21.75" customHeight="1" x14ac:dyDescent="0.3">
      <c r="B10" s="21" t="s">
        <v>135</v>
      </c>
      <c r="C10" s="12" t="s">
        <v>583</v>
      </c>
      <c r="D10" s="51" t="s">
        <v>584</v>
      </c>
      <c r="E10" s="113" t="s">
        <v>585</v>
      </c>
      <c r="F10" s="113"/>
      <c r="G10" s="113"/>
      <c r="H10" s="113"/>
      <c r="I10" s="113"/>
      <c r="J10" s="113"/>
      <c r="K10" s="113"/>
      <c r="L10" s="113"/>
    </row>
    <row r="11" spans="2:12" ht="12" customHeight="1" x14ac:dyDescent="0.3"/>
    <row r="12" spans="2:12" ht="25.5" customHeight="1" x14ac:dyDescent="0.3">
      <c r="B12" s="119" t="s">
        <v>586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</row>
    <row r="13" spans="2:12" ht="25.5" customHeight="1" x14ac:dyDescent="0.3">
      <c r="B13" s="146" t="s">
        <v>587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</row>
    <row r="14" spans="2:12" ht="25.5" customHeight="1" x14ac:dyDescent="0.3">
      <c r="B14" s="52" t="s">
        <v>588</v>
      </c>
      <c r="C14" s="52" t="s">
        <v>589</v>
      </c>
      <c r="D14" s="52" t="s">
        <v>590</v>
      </c>
      <c r="E14" s="52" t="s">
        <v>591</v>
      </c>
      <c r="F14" s="52" t="s">
        <v>592</v>
      </c>
      <c r="G14" s="52" t="s">
        <v>593</v>
      </c>
      <c r="H14" s="52" t="s">
        <v>594</v>
      </c>
      <c r="I14" s="52" t="s">
        <v>595</v>
      </c>
      <c r="J14" s="52" t="s">
        <v>596</v>
      </c>
      <c r="K14" s="10"/>
      <c r="L14" s="10"/>
    </row>
    <row r="15" spans="2:12" ht="19.5" customHeight="1" x14ac:dyDescent="0.3">
      <c r="B15" s="53" t="s">
        <v>134</v>
      </c>
      <c r="C15" s="54" t="s">
        <v>597</v>
      </c>
      <c r="D15" s="55">
        <v>9</v>
      </c>
      <c r="E15" s="55">
        <v>8</v>
      </c>
      <c r="F15" s="55">
        <v>9</v>
      </c>
      <c r="G15" s="55">
        <v>8</v>
      </c>
      <c r="H15" s="56">
        <v>7</v>
      </c>
      <c r="I15" s="57">
        <v>8.4499999999999993</v>
      </c>
      <c r="J15" s="58" t="s">
        <v>598</v>
      </c>
      <c r="K15" s="10"/>
      <c r="L15" s="10"/>
    </row>
    <row r="16" spans="2:12" ht="19.5" customHeight="1" x14ac:dyDescent="0.3">
      <c r="B16" s="41" t="s">
        <v>599</v>
      </c>
      <c r="C16" s="59" t="s">
        <v>600</v>
      </c>
      <c r="D16" s="55">
        <v>8</v>
      </c>
      <c r="E16" s="55">
        <v>9</v>
      </c>
      <c r="F16" s="55">
        <v>9</v>
      </c>
      <c r="G16" s="56">
        <v>7</v>
      </c>
      <c r="H16" s="55">
        <v>8</v>
      </c>
      <c r="I16" s="57">
        <v>8.3000000000000007</v>
      </c>
      <c r="J16" s="60" t="s">
        <v>601</v>
      </c>
      <c r="K16" s="10"/>
      <c r="L16" s="10"/>
    </row>
    <row r="17" spans="2:12" ht="19.5" customHeight="1" x14ac:dyDescent="0.3">
      <c r="B17" s="44" t="s">
        <v>602</v>
      </c>
      <c r="C17" s="61" t="s">
        <v>603</v>
      </c>
      <c r="D17" s="55">
        <v>8</v>
      </c>
      <c r="E17" s="56">
        <v>7</v>
      </c>
      <c r="F17" s="55">
        <v>8</v>
      </c>
      <c r="G17" s="55">
        <v>8</v>
      </c>
      <c r="H17" s="62">
        <v>6</v>
      </c>
      <c r="I17" s="57">
        <v>7.6</v>
      </c>
      <c r="J17" s="60" t="s">
        <v>601</v>
      </c>
      <c r="K17" s="10"/>
      <c r="L17" s="10"/>
    </row>
    <row r="18" spans="2:12" ht="30" customHeight="1" x14ac:dyDescent="0.3">
      <c r="B18" s="145" t="s">
        <v>604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</row>
    <row r="20" spans="2:12" ht="25.5" customHeight="1" x14ac:dyDescent="0.3">
      <c r="B20" s="146" t="s">
        <v>605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</row>
    <row r="21" spans="2:12" ht="25.5" customHeight="1" x14ac:dyDescent="0.3">
      <c r="B21" s="52" t="s">
        <v>588</v>
      </c>
      <c r="C21" s="52" t="s">
        <v>589</v>
      </c>
      <c r="D21" s="52" t="s">
        <v>590</v>
      </c>
      <c r="E21" s="52" t="s">
        <v>591</v>
      </c>
      <c r="F21" s="52" t="s">
        <v>592</v>
      </c>
      <c r="G21" s="52" t="s">
        <v>593</v>
      </c>
      <c r="H21" s="52" t="s">
        <v>594</v>
      </c>
      <c r="I21" s="52" t="s">
        <v>595</v>
      </c>
      <c r="J21" s="52" t="s">
        <v>596</v>
      </c>
      <c r="K21" s="10"/>
      <c r="L21" s="10"/>
    </row>
    <row r="22" spans="2:12" ht="19.5" customHeight="1" x14ac:dyDescent="0.3">
      <c r="B22" s="53" t="s">
        <v>101</v>
      </c>
      <c r="C22" s="54" t="s">
        <v>606</v>
      </c>
      <c r="D22" s="55">
        <v>9</v>
      </c>
      <c r="E22" s="55">
        <v>8</v>
      </c>
      <c r="F22" s="55">
        <v>9</v>
      </c>
      <c r="G22" s="55">
        <v>9</v>
      </c>
      <c r="H22" s="56">
        <v>7</v>
      </c>
      <c r="I22" s="57">
        <v>8.6</v>
      </c>
      <c r="J22" s="58" t="s">
        <v>598</v>
      </c>
      <c r="K22" s="10"/>
      <c r="L22" s="10"/>
    </row>
    <row r="23" spans="2:12" ht="19.5" customHeight="1" x14ac:dyDescent="0.3">
      <c r="B23" s="44" t="s">
        <v>607</v>
      </c>
      <c r="C23" s="61" t="s">
        <v>608</v>
      </c>
      <c r="D23" s="55">
        <v>8</v>
      </c>
      <c r="E23" s="55">
        <v>8</v>
      </c>
      <c r="F23" s="55">
        <v>8</v>
      </c>
      <c r="G23" s="56">
        <v>7</v>
      </c>
      <c r="H23" s="56">
        <v>7</v>
      </c>
      <c r="I23" s="57">
        <v>7.75</v>
      </c>
      <c r="J23" s="60" t="s">
        <v>601</v>
      </c>
      <c r="K23" s="10"/>
      <c r="L23" s="10"/>
    </row>
    <row r="24" spans="2:12" ht="19.5" customHeight="1" x14ac:dyDescent="0.3">
      <c r="B24" s="41" t="s">
        <v>609</v>
      </c>
      <c r="C24" s="59" t="s">
        <v>610</v>
      </c>
      <c r="D24" s="55">
        <v>8</v>
      </c>
      <c r="E24" s="56">
        <v>7</v>
      </c>
      <c r="F24" s="55">
        <v>8</v>
      </c>
      <c r="G24" s="56">
        <v>7</v>
      </c>
      <c r="H24" s="62">
        <v>6</v>
      </c>
      <c r="I24" s="57">
        <v>7.45</v>
      </c>
      <c r="J24" s="60" t="s">
        <v>601</v>
      </c>
      <c r="K24" s="10"/>
      <c r="L24" s="10"/>
    </row>
    <row r="25" spans="2:12" ht="30" customHeight="1" x14ac:dyDescent="0.3">
      <c r="B25" s="145" t="s">
        <v>611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</row>
    <row r="27" spans="2:12" ht="25.5" customHeight="1" x14ac:dyDescent="0.3">
      <c r="B27" s="146" t="s">
        <v>612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</row>
    <row r="28" spans="2:12" ht="25.5" customHeight="1" x14ac:dyDescent="0.3">
      <c r="B28" s="52" t="s">
        <v>588</v>
      </c>
      <c r="C28" s="52" t="s">
        <v>589</v>
      </c>
      <c r="D28" s="52" t="s">
        <v>590</v>
      </c>
      <c r="E28" s="52" t="s">
        <v>591</v>
      </c>
      <c r="F28" s="52" t="s">
        <v>592</v>
      </c>
      <c r="G28" s="52" t="s">
        <v>593</v>
      </c>
      <c r="H28" s="52" t="s">
        <v>594</v>
      </c>
      <c r="I28" s="52" t="s">
        <v>595</v>
      </c>
      <c r="J28" s="52" t="s">
        <v>596</v>
      </c>
      <c r="K28" s="10"/>
      <c r="L28" s="10"/>
    </row>
    <row r="29" spans="2:12" ht="19.5" customHeight="1" x14ac:dyDescent="0.3">
      <c r="B29" s="53" t="s">
        <v>121</v>
      </c>
      <c r="C29" s="54" t="s">
        <v>613</v>
      </c>
      <c r="D29" s="55">
        <v>9</v>
      </c>
      <c r="E29" s="55">
        <v>9</v>
      </c>
      <c r="F29" s="55">
        <v>9</v>
      </c>
      <c r="G29" s="55">
        <v>8</v>
      </c>
      <c r="H29" s="55">
        <v>8</v>
      </c>
      <c r="I29" s="57">
        <v>8.75</v>
      </c>
      <c r="J29" s="58" t="s">
        <v>598</v>
      </c>
      <c r="K29" s="10"/>
      <c r="L29" s="10"/>
    </row>
    <row r="30" spans="2:12" ht="19.5" customHeight="1" x14ac:dyDescent="0.3">
      <c r="B30" s="41" t="s">
        <v>614</v>
      </c>
      <c r="C30" s="59" t="s">
        <v>615</v>
      </c>
      <c r="D30" s="55">
        <v>8</v>
      </c>
      <c r="E30" s="55">
        <v>8</v>
      </c>
      <c r="F30" s="55">
        <v>8</v>
      </c>
      <c r="G30" s="56">
        <v>7</v>
      </c>
      <c r="H30" s="56">
        <v>7</v>
      </c>
      <c r="I30" s="57">
        <v>7.75</v>
      </c>
      <c r="J30" s="60" t="s">
        <v>601</v>
      </c>
      <c r="K30" s="10"/>
      <c r="L30" s="10"/>
    </row>
    <row r="31" spans="2:12" ht="19.5" customHeight="1" x14ac:dyDescent="0.3">
      <c r="B31" s="44" t="s">
        <v>616</v>
      </c>
      <c r="C31" s="61" t="s">
        <v>617</v>
      </c>
      <c r="D31" s="56">
        <v>7</v>
      </c>
      <c r="E31" s="55">
        <v>8</v>
      </c>
      <c r="F31" s="56">
        <v>7</v>
      </c>
      <c r="G31" s="56">
        <v>7</v>
      </c>
      <c r="H31" s="62">
        <v>6</v>
      </c>
      <c r="I31" s="57">
        <v>7.1</v>
      </c>
      <c r="J31" s="60" t="s">
        <v>601</v>
      </c>
      <c r="K31" s="10"/>
      <c r="L31" s="10"/>
    </row>
    <row r="32" spans="2:12" ht="30" customHeight="1" x14ac:dyDescent="0.3">
      <c r="B32" s="145" t="s">
        <v>618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</row>
    <row r="34" spans="2:12" ht="25.5" customHeight="1" x14ac:dyDescent="0.3">
      <c r="B34" s="146" t="s">
        <v>619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</row>
    <row r="35" spans="2:12" ht="25.5" customHeight="1" x14ac:dyDescent="0.3">
      <c r="B35" s="52" t="s">
        <v>588</v>
      </c>
      <c r="C35" s="52" t="s">
        <v>589</v>
      </c>
      <c r="D35" s="52" t="s">
        <v>590</v>
      </c>
      <c r="E35" s="52" t="s">
        <v>591</v>
      </c>
      <c r="F35" s="52" t="s">
        <v>592</v>
      </c>
      <c r="G35" s="52" t="s">
        <v>593</v>
      </c>
      <c r="H35" s="52" t="s">
        <v>594</v>
      </c>
      <c r="I35" s="52" t="s">
        <v>595</v>
      </c>
      <c r="J35" s="52" t="s">
        <v>596</v>
      </c>
      <c r="K35" s="10"/>
      <c r="L35" s="10"/>
    </row>
    <row r="36" spans="2:12" ht="19.5" customHeight="1" x14ac:dyDescent="0.3">
      <c r="B36" s="53" t="s">
        <v>176</v>
      </c>
      <c r="C36" s="54" t="s">
        <v>600</v>
      </c>
      <c r="D36" s="55">
        <v>9</v>
      </c>
      <c r="E36" s="55">
        <v>8</v>
      </c>
      <c r="F36" s="55">
        <v>8</v>
      </c>
      <c r="G36" s="55">
        <v>8</v>
      </c>
      <c r="H36" s="55">
        <v>8</v>
      </c>
      <c r="I36" s="57">
        <v>8.3000000000000007</v>
      </c>
      <c r="J36" s="58" t="s">
        <v>598</v>
      </c>
      <c r="K36" s="10"/>
      <c r="L36" s="10"/>
    </row>
    <row r="37" spans="2:12" ht="19.5" customHeight="1" x14ac:dyDescent="0.3">
      <c r="B37" s="44" t="s">
        <v>620</v>
      </c>
      <c r="C37" s="61" t="s">
        <v>621</v>
      </c>
      <c r="D37" s="55">
        <v>8</v>
      </c>
      <c r="E37" s="55">
        <v>8</v>
      </c>
      <c r="F37" s="55">
        <v>8</v>
      </c>
      <c r="G37" s="56">
        <v>7</v>
      </c>
      <c r="H37" s="56">
        <v>7</v>
      </c>
      <c r="I37" s="57">
        <v>7.75</v>
      </c>
      <c r="J37" s="60" t="s">
        <v>601</v>
      </c>
      <c r="K37" s="10"/>
      <c r="L37" s="10"/>
    </row>
    <row r="38" spans="2:12" ht="19.5" customHeight="1" x14ac:dyDescent="0.3">
      <c r="B38" s="41" t="s">
        <v>622</v>
      </c>
      <c r="C38" s="59" t="s">
        <v>623</v>
      </c>
      <c r="D38" s="56">
        <v>7</v>
      </c>
      <c r="E38" s="56">
        <v>7</v>
      </c>
      <c r="F38" s="55">
        <v>8</v>
      </c>
      <c r="G38" s="56">
        <v>7</v>
      </c>
      <c r="H38" s="62">
        <v>6</v>
      </c>
      <c r="I38" s="57">
        <v>7.15</v>
      </c>
      <c r="J38" s="60" t="s">
        <v>601</v>
      </c>
      <c r="K38" s="10"/>
      <c r="L38" s="10"/>
    </row>
    <row r="39" spans="2:12" ht="30" customHeight="1" x14ac:dyDescent="0.3">
      <c r="B39" s="145" t="s">
        <v>624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</row>
    <row r="41" spans="2:12" ht="25.5" customHeight="1" x14ac:dyDescent="0.3">
      <c r="B41" s="146" t="s">
        <v>625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</row>
    <row r="42" spans="2:12" ht="25.5" customHeight="1" x14ac:dyDescent="0.3">
      <c r="B42" s="52" t="s">
        <v>588</v>
      </c>
      <c r="C42" s="52" t="s">
        <v>589</v>
      </c>
      <c r="D42" s="52" t="s">
        <v>590</v>
      </c>
      <c r="E42" s="52" t="s">
        <v>591</v>
      </c>
      <c r="F42" s="52" t="s">
        <v>592</v>
      </c>
      <c r="G42" s="52" t="s">
        <v>593</v>
      </c>
      <c r="H42" s="52" t="s">
        <v>594</v>
      </c>
      <c r="I42" s="52" t="s">
        <v>595</v>
      </c>
      <c r="J42" s="52" t="s">
        <v>596</v>
      </c>
      <c r="K42" s="10"/>
      <c r="L42" s="10"/>
    </row>
    <row r="43" spans="2:12" ht="19.5" customHeight="1" x14ac:dyDescent="0.3">
      <c r="B43" s="53" t="s">
        <v>318</v>
      </c>
      <c r="C43" s="54" t="s">
        <v>613</v>
      </c>
      <c r="D43" s="55">
        <v>8</v>
      </c>
      <c r="E43" s="55">
        <v>9</v>
      </c>
      <c r="F43" s="55">
        <v>9</v>
      </c>
      <c r="G43" s="55">
        <v>8</v>
      </c>
      <c r="H43" s="55">
        <v>9</v>
      </c>
      <c r="I43" s="57">
        <v>8.5500000000000007</v>
      </c>
      <c r="J43" s="58" t="s">
        <v>598</v>
      </c>
      <c r="K43" s="10"/>
      <c r="L43" s="10"/>
    </row>
    <row r="44" spans="2:12" ht="19.5" customHeight="1" x14ac:dyDescent="0.3">
      <c r="B44" s="41" t="s">
        <v>626</v>
      </c>
      <c r="C44" s="59" t="s">
        <v>627</v>
      </c>
      <c r="D44" s="56">
        <v>7</v>
      </c>
      <c r="E44" s="55">
        <v>8</v>
      </c>
      <c r="F44" s="55">
        <v>9</v>
      </c>
      <c r="G44" s="55">
        <v>8</v>
      </c>
      <c r="H44" s="55">
        <v>8</v>
      </c>
      <c r="I44" s="57">
        <v>7.95</v>
      </c>
      <c r="J44" s="60" t="s">
        <v>601</v>
      </c>
      <c r="K44" s="10"/>
      <c r="L44" s="10"/>
    </row>
    <row r="45" spans="2:12" ht="19.5" customHeight="1" x14ac:dyDescent="0.3">
      <c r="B45" s="44" t="s">
        <v>628</v>
      </c>
      <c r="C45" s="61" t="s">
        <v>629</v>
      </c>
      <c r="D45" s="56">
        <v>7</v>
      </c>
      <c r="E45" s="56">
        <v>7</v>
      </c>
      <c r="F45" s="55">
        <v>8</v>
      </c>
      <c r="G45" s="55">
        <v>8</v>
      </c>
      <c r="H45" s="56">
        <v>7</v>
      </c>
      <c r="I45" s="57">
        <v>7.4</v>
      </c>
      <c r="J45" s="60" t="s">
        <v>601</v>
      </c>
      <c r="K45" s="10"/>
      <c r="L45" s="10"/>
    </row>
    <row r="46" spans="2:12" ht="30" customHeight="1" x14ac:dyDescent="0.3">
      <c r="B46" s="145" t="s">
        <v>630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</row>
    <row r="48" spans="2:12" ht="25.5" customHeight="1" x14ac:dyDescent="0.3">
      <c r="B48" s="146" t="s">
        <v>631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</row>
    <row r="49" spans="2:12" ht="25.5" customHeight="1" x14ac:dyDescent="0.3">
      <c r="B49" s="52" t="s">
        <v>588</v>
      </c>
      <c r="C49" s="52" t="s">
        <v>589</v>
      </c>
      <c r="D49" s="52" t="s">
        <v>590</v>
      </c>
      <c r="E49" s="52" t="s">
        <v>591</v>
      </c>
      <c r="F49" s="52" t="s">
        <v>592</v>
      </c>
      <c r="G49" s="52" t="s">
        <v>593</v>
      </c>
      <c r="H49" s="52" t="s">
        <v>594</v>
      </c>
      <c r="I49" s="52" t="s">
        <v>595</v>
      </c>
      <c r="J49" s="52" t="s">
        <v>596</v>
      </c>
      <c r="K49" s="10"/>
      <c r="L49" s="10"/>
    </row>
    <row r="50" spans="2:12" ht="19.5" customHeight="1" x14ac:dyDescent="0.3">
      <c r="B50" s="53" t="s">
        <v>260</v>
      </c>
      <c r="C50" s="54" t="s">
        <v>600</v>
      </c>
      <c r="D50" s="55">
        <v>9</v>
      </c>
      <c r="E50" s="55">
        <v>8</v>
      </c>
      <c r="F50" s="55">
        <v>9</v>
      </c>
      <c r="G50" s="55">
        <v>8</v>
      </c>
      <c r="H50" s="55">
        <v>8</v>
      </c>
      <c r="I50" s="57">
        <v>8.5500000000000007</v>
      </c>
      <c r="J50" s="58" t="s">
        <v>598</v>
      </c>
      <c r="K50" s="10"/>
      <c r="L50" s="10"/>
    </row>
    <row r="51" spans="2:12" ht="19.5" customHeight="1" x14ac:dyDescent="0.3">
      <c r="B51" s="44" t="s">
        <v>632</v>
      </c>
      <c r="C51" s="61" t="s">
        <v>633</v>
      </c>
      <c r="D51" s="55">
        <v>8</v>
      </c>
      <c r="E51" s="55">
        <v>8</v>
      </c>
      <c r="F51" s="55">
        <v>9</v>
      </c>
      <c r="G51" s="55">
        <v>8</v>
      </c>
      <c r="H51" s="56">
        <v>7</v>
      </c>
      <c r="I51" s="57">
        <v>8.15</v>
      </c>
      <c r="J51" s="60" t="s">
        <v>601</v>
      </c>
      <c r="K51" s="10"/>
      <c r="L51" s="10"/>
    </row>
    <row r="52" spans="2:12" ht="19.5" customHeight="1" x14ac:dyDescent="0.3">
      <c r="B52" s="41" t="s">
        <v>634</v>
      </c>
      <c r="C52" s="59" t="s">
        <v>606</v>
      </c>
      <c r="D52" s="55">
        <v>8</v>
      </c>
      <c r="E52" s="56">
        <v>7</v>
      </c>
      <c r="F52" s="55">
        <v>8</v>
      </c>
      <c r="G52" s="56">
        <v>7</v>
      </c>
      <c r="H52" s="62">
        <v>6</v>
      </c>
      <c r="I52" s="57">
        <v>7.45</v>
      </c>
      <c r="J52" s="60" t="s">
        <v>601</v>
      </c>
      <c r="K52" s="10"/>
      <c r="L52" s="10"/>
    </row>
    <row r="53" spans="2:12" ht="30" customHeight="1" x14ac:dyDescent="0.3">
      <c r="B53" s="145" t="s">
        <v>635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</row>
    <row r="55" spans="2:12" ht="25.5" customHeight="1" x14ac:dyDescent="0.3">
      <c r="B55" s="146" t="s">
        <v>636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</row>
    <row r="56" spans="2:12" ht="25.5" customHeight="1" x14ac:dyDescent="0.3">
      <c r="B56" s="52" t="s">
        <v>588</v>
      </c>
      <c r="C56" s="52" t="s">
        <v>589</v>
      </c>
      <c r="D56" s="52" t="s">
        <v>590</v>
      </c>
      <c r="E56" s="52" t="s">
        <v>591</v>
      </c>
      <c r="F56" s="52" t="s">
        <v>592</v>
      </c>
      <c r="G56" s="52" t="s">
        <v>593</v>
      </c>
      <c r="H56" s="52" t="s">
        <v>594</v>
      </c>
      <c r="I56" s="52" t="s">
        <v>595</v>
      </c>
      <c r="J56" s="52" t="s">
        <v>596</v>
      </c>
      <c r="K56" s="10"/>
      <c r="L56" s="10"/>
    </row>
    <row r="57" spans="2:12" ht="19.5" customHeight="1" x14ac:dyDescent="0.3">
      <c r="B57" s="53" t="s">
        <v>225</v>
      </c>
      <c r="C57" s="54" t="s">
        <v>603</v>
      </c>
      <c r="D57" s="55">
        <v>9</v>
      </c>
      <c r="E57" s="55">
        <v>9</v>
      </c>
      <c r="F57" s="55">
        <v>8</v>
      </c>
      <c r="G57" s="55">
        <v>8</v>
      </c>
      <c r="H57" s="55">
        <v>8</v>
      </c>
      <c r="I57" s="57">
        <v>8.5</v>
      </c>
      <c r="J57" s="58" t="s">
        <v>598</v>
      </c>
      <c r="K57" s="10"/>
      <c r="L57" s="10"/>
    </row>
    <row r="58" spans="2:12" ht="19.5" customHeight="1" x14ac:dyDescent="0.3">
      <c r="B58" s="41" t="s">
        <v>637</v>
      </c>
      <c r="C58" s="59" t="s">
        <v>600</v>
      </c>
      <c r="D58" s="55">
        <v>8</v>
      </c>
      <c r="E58" s="55">
        <v>8</v>
      </c>
      <c r="F58" s="55">
        <v>8</v>
      </c>
      <c r="G58" s="55">
        <v>8</v>
      </c>
      <c r="H58" s="56">
        <v>7</v>
      </c>
      <c r="I58" s="57">
        <v>7.9</v>
      </c>
      <c r="J58" s="60" t="s">
        <v>601</v>
      </c>
      <c r="K58" s="10"/>
      <c r="L58" s="10"/>
    </row>
    <row r="59" spans="2:12" ht="19.5" customHeight="1" x14ac:dyDescent="0.3">
      <c r="B59" s="44" t="s">
        <v>638</v>
      </c>
      <c r="C59" s="61" t="s">
        <v>639</v>
      </c>
      <c r="D59" s="56">
        <v>7</v>
      </c>
      <c r="E59" s="56">
        <v>7</v>
      </c>
      <c r="F59" s="55">
        <v>9</v>
      </c>
      <c r="G59" s="55">
        <v>9</v>
      </c>
      <c r="H59" s="55">
        <v>9</v>
      </c>
      <c r="I59" s="57">
        <v>8</v>
      </c>
      <c r="J59" s="60" t="s">
        <v>601</v>
      </c>
      <c r="K59" s="10"/>
      <c r="L59" s="10"/>
    </row>
    <row r="60" spans="2:12" ht="30" customHeight="1" x14ac:dyDescent="0.3">
      <c r="B60" s="145" t="s">
        <v>640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</row>
    <row r="62" spans="2:12" ht="25.5" customHeight="1" x14ac:dyDescent="0.3">
      <c r="B62" s="146" t="s">
        <v>641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</row>
    <row r="63" spans="2:12" ht="25.5" customHeight="1" x14ac:dyDescent="0.3">
      <c r="B63" s="52" t="s">
        <v>588</v>
      </c>
      <c r="C63" s="52" t="s">
        <v>589</v>
      </c>
      <c r="D63" s="52" t="s">
        <v>590</v>
      </c>
      <c r="E63" s="52" t="s">
        <v>591</v>
      </c>
      <c r="F63" s="52" t="s">
        <v>592</v>
      </c>
      <c r="G63" s="52" t="s">
        <v>593</v>
      </c>
      <c r="H63" s="52" t="s">
        <v>594</v>
      </c>
      <c r="I63" s="52" t="s">
        <v>595</v>
      </c>
      <c r="J63" s="52" t="s">
        <v>596</v>
      </c>
      <c r="K63" s="10"/>
      <c r="L63" s="10"/>
    </row>
    <row r="64" spans="2:12" ht="19.5" customHeight="1" x14ac:dyDescent="0.3">
      <c r="B64" s="53" t="s">
        <v>106</v>
      </c>
      <c r="C64" s="54" t="s">
        <v>642</v>
      </c>
      <c r="D64" s="55">
        <v>8</v>
      </c>
      <c r="E64" s="55">
        <v>9</v>
      </c>
      <c r="F64" s="55">
        <v>9</v>
      </c>
      <c r="G64" s="55">
        <v>9</v>
      </c>
      <c r="H64" s="55">
        <v>8</v>
      </c>
      <c r="I64" s="57">
        <v>8.6</v>
      </c>
      <c r="J64" s="58" t="s">
        <v>598</v>
      </c>
      <c r="K64" s="10"/>
      <c r="L64" s="10"/>
    </row>
    <row r="65" spans="2:12" ht="19.5" customHeight="1" x14ac:dyDescent="0.3">
      <c r="B65" s="44" t="s">
        <v>91</v>
      </c>
      <c r="C65" s="61" t="s">
        <v>610</v>
      </c>
      <c r="D65" s="55">
        <v>8</v>
      </c>
      <c r="E65" s="55">
        <v>8</v>
      </c>
      <c r="F65" s="55">
        <v>8</v>
      </c>
      <c r="G65" s="55">
        <v>8</v>
      </c>
      <c r="H65" s="56">
        <v>7</v>
      </c>
      <c r="I65" s="57">
        <v>7.9</v>
      </c>
      <c r="J65" s="60" t="s">
        <v>601</v>
      </c>
      <c r="K65" s="10"/>
      <c r="L65" s="10"/>
    </row>
    <row r="66" spans="2:12" ht="19.5" customHeight="1" x14ac:dyDescent="0.3">
      <c r="B66" s="41" t="s">
        <v>643</v>
      </c>
      <c r="C66" s="59" t="s">
        <v>600</v>
      </c>
      <c r="D66" s="56">
        <v>7</v>
      </c>
      <c r="E66" s="56">
        <v>7</v>
      </c>
      <c r="F66" s="55">
        <v>8</v>
      </c>
      <c r="G66" s="55">
        <v>8</v>
      </c>
      <c r="H66" s="56">
        <v>7</v>
      </c>
      <c r="I66" s="57">
        <v>7.4</v>
      </c>
      <c r="J66" s="60" t="s">
        <v>601</v>
      </c>
      <c r="K66" s="10"/>
      <c r="L66" s="10"/>
    </row>
    <row r="67" spans="2:12" ht="30" customHeight="1" x14ac:dyDescent="0.3">
      <c r="B67" s="145" t="s">
        <v>644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</row>
  </sheetData>
  <mergeCells count="26">
    <mergeCell ref="B1:L1"/>
    <mergeCell ref="B2:L2"/>
    <mergeCell ref="B4:L4"/>
    <mergeCell ref="E5:L5"/>
    <mergeCell ref="E6:L6"/>
    <mergeCell ref="E7:L7"/>
    <mergeCell ref="E8:L8"/>
    <mergeCell ref="E9:L9"/>
    <mergeCell ref="E10:L10"/>
    <mergeCell ref="B12:L12"/>
    <mergeCell ref="B13:L13"/>
    <mergeCell ref="B18:L18"/>
    <mergeCell ref="B20:L20"/>
    <mergeCell ref="B25:L25"/>
    <mergeCell ref="B27:L27"/>
    <mergeCell ref="B32:L32"/>
    <mergeCell ref="B34:L34"/>
    <mergeCell ref="B39:L39"/>
    <mergeCell ref="B41:L41"/>
    <mergeCell ref="B46:L46"/>
    <mergeCell ref="B67:L67"/>
    <mergeCell ref="B48:L48"/>
    <mergeCell ref="B53:L53"/>
    <mergeCell ref="B55:L55"/>
    <mergeCell ref="B60:L60"/>
    <mergeCell ref="B62:L6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A3412"/>
  </sheetPr>
  <dimension ref="B1:G22"/>
  <sheetViews>
    <sheetView showGridLines="0" zoomScaleNormal="10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defaultColWidth="8.6640625" defaultRowHeight="14.4" x14ac:dyDescent="0.3"/>
  <cols>
    <col min="1" max="1" width="2" customWidth="1"/>
    <col min="2" max="2" width="8" customWidth="1"/>
    <col min="3" max="3" width="32" customWidth="1"/>
    <col min="4" max="4" width="16" customWidth="1"/>
    <col min="5" max="7" width="14" customWidth="1"/>
    <col min="8" max="8" width="2" customWidth="1"/>
  </cols>
  <sheetData>
    <row r="1" spans="2:7" ht="39.75" customHeight="1" x14ac:dyDescent="0.3">
      <c r="B1" s="106" t="s">
        <v>645</v>
      </c>
      <c r="C1" s="106"/>
      <c r="D1" s="106"/>
      <c r="E1" s="106"/>
      <c r="F1" s="106"/>
      <c r="G1" s="106"/>
    </row>
    <row r="2" spans="2:7" ht="21.75" customHeight="1" x14ac:dyDescent="0.3">
      <c r="B2" s="149" t="s">
        <v>646</v>
      </c>
      <c r="C2" s="149"/>
      <c r="D2" s="149"/>
      <c r="E2" s="149"/>
      <c r="F2" s="149"/>
      <c r="G2" s="149"/>
    </row>
    <row r="3" spans="2:7" ht="7.5" customHeight="1" x14ac:dyDescent="0.3"/>
    <row r="4" spans="2:7" ht="30" customHeight="1" x14ac:dyDescent="0.3">
      <c r="B4" s="142" t="s">
        <v>647</v>
      </c>
      <c r="C4" s="142"/>
      <c r="D4" s="142"/>
      <c r="E4" s="142"/>
      <c r="F4" s="142"/>
      <c r="G4" s="22">
        <f>F22</f>
        <v>5065000</v>
      </c>
    </row>
    <row r="5" spans="2:7" ht="7.5" customHeight="1" x14ac:dyDescent="0.3"/>
    <row r="6" spans="2:7" ht="27.75" customHeight="1" x14ac:dyDescent="0.3">
      <c r="B6" s="9" t="s">
        <v>65</v>
      </c>
      <c r="C6" s="9" t="s">
        <v>648</v>
      </c>
      <c r="D6" s="9" t="s">
        <v>649</v>
      </c>
      <c r="E6" s="9" t="s">
        <v>650</v>
      </c>
      <c r="F6" s="9" t="s">
        <v>69</v>
      </c>
      <c r="G6" s="9" t="s">
        <v>651</v>
      </c>
    </row>
    <row r="7" spans="2:7" ht="79.8" customHeight="1" x14ac:dyDescent="0.3">
      <c r="B7" s="31" t="s">
        <v>652</v>
      </c>
      <c r="C7" s="63" t="s">
        <v>653</v>
      </c>
      <c r="D7" s="20" t="s">
        <v>654</v>
      </c>
      <c r="E7" s="64" t="s">
        <v>655</v>
      </c>
      <c r="F7" s="45">
        <v>850000</v>
      </c>
      <c r="G7" s="65" t="s">
        <v>656</v>
      </c>
    </row>
    <row r="8" spans="2:7" ht="91.8" customHeight="1" x14ac:dyDescent="0.3">
      <c r="B8" s="23" t="s">
        <v>657</v>
      </c>
      <c r="C8" s="66" t="s">
        <v>658</v>
      </c>
      <c r="D8" s="14" t="s">
        <v>659</v>
      </c>
      <c r="E8" s="64" t="s">
        <v>660</v>
      </c>
      <c r="F8" s="42">
        <v>650000</v>
      </c>
      <c r="G8" s="67" t="s">
        <v>661</v>
      </c>
    </row>
    <row r="9" spans="2:7" ht="87" customHeight="1" x14ac:dyDescent="0.3">
      <c r="B9" s="31" t="s">
        <v>662</v>
      </c>
      <c r="C9" s="63" t="s">
        <v>663</v>
      </c>
      <c r="D9" s="20" t="s">
        <v>664</v>
      </c>
      <c r="E9" s="64" t="s">
        <v>655</v>
      </c>
      <c r="F9" s="45">
        <v>480000</v>
      </c>
      <c r="G9" s="65" t="s">
        <v>665</v>
      </c>
    </row>
    <row r="10" spans="2:7" ht="78" customHeight="1" x14ac:dyDescent="0.3">
      <c r="B10" s="23" t="s">
        <v>666</v>
      </c>
      <c r="C10" s="66" t="s">
        <v>667</v>
      </c>
      <c r="D10" s="14" t="s">
        <v>668</v>
      </c>
      <c r="E10" s="64" t="s">
        <v>669</v>
      </c>
      <c r="F10" s="42">
        <v>380000</v>
      </c>
      <c r="G10" s="67" t="s">
        <v>670</v>
      </c>
    </row>
    <row r="11" spans="2:7" ht="66" customHeight="1" x14ac:dyDescent="0.3">
      <c r="B11" s="31" t="s">
        <v>671</v>
      </c>
      <c r="C11" s="63" t="s">
        <v>672</v>
      </c>
      <c r="D11" s="20" t="s">
        <v>673</v>
      </c>
      <c r="E11" s="64" t="s">
        <v>669</v>
      </c>
      <c r="F11" s="45">
        <v>120000</v>
      </c>
      <c r="G11" s="65" t="s">
        <v>674</v>
      </c>
    </row>
    <row r="12" spans="2:7" ht="61.8" customHeight="1" x14ac:dyDescent="0.3">
      <c r="B12" s="23" t="s">
        <v>675</v>
      </c>
      <c r="C12" s="66" t="s">
        <v>676</v>
      </c>
      <c r="D12" s="14" t="s">
        <v>677</v>
      </c>
      <c r="E12" s="64" t="s">
        <v>660</v>
      </c>
      <c r="F12" s="42">
        <v>250000</v>
      </c>
      <c r="G12" s="67" t="s">
        <v>678</v>
      </c>
    </row>
    <row r="13" spans="2:7" ht="73.8" customHeight="1" x14ac:dyDescent="0.3">
      <c r="B13" s="31" t="s">
        <v>679</v>
      </c>
      <c r="C13" s="63" t="s">
        <v>680</v>
      </c>
      <c r="D13" s="20" t="s">
        <v>681</v>
      </c>
      <c r="E13" s="64" t="s">
        <v>682</v>
      </c>
      <c r="F13" s="45">
        <v>720000</v>
      </c>
      <c r="G13" s="65" t="s">
        <v>683</v>
      </c>
    </row>
    <row r="14" spans="2:7" ht="66" customHeight="1" x14ac:dyDescent="0.3">
      <c r="B14" s="23" t="s">
        <v>684</v>
      </c>
      <c r="C14" s="66" t="s">
        <v>685</v>
      </c>
      <c r="D14" s="14" t="s">
        <v>686</v>
      </c>
      <c r="E14" s="64" t="s">
        <v>660</v>
      </c>
      <c r="F14" s="42">
        <v>180000</v>
      </c>
      <c r="G14" s="67" t="s">
        <v>687</v>
      </c>
    </row>
    <row r="15" spans="2:7" ht="69.599999999999994" customHeight="1" x14ac:dyDescent="0.3">
      <c r="B15" s="31" t="s">
        <v>688</v>
      </c>
      <c r="C15" s="63" t="s">
        <v>689</v>
      </c>
      <c r="D15" s="20" t="s">
        <v>690</v>
      </c>
      <c r="E15" s="64" t="s">
        <v>660</v>
      </c>
      <c r="F15" s="45">
        <v>320000</v>
      </c>
      <c r="G15" s="65" t="s">
        <v>691</v>
      </c>
    </row>
    <row r="16" spans="2:7" ht="27.75" customHeight="1" x14ac:dyDescent="0.3">
      <c r="B16" s="23" t="s">
        <v>692</v>
      </c>
      <c r="C16" s="66" t="s">
        <v>693</v>
      </c>
      <c r="D16" s="14" t="s">
        <v>694</v>
      </c>
      <c r="E16" s="64" t="s">
        <v>695</v>
      </c>
      <c r="F16" s="42">
        <v>285000</v>
      </c>
      <c r="G16" s="67" t="s">
        <v>696</v>
      </c>
    </row>
    <row r="17" spans="2:7" ht="90.6" customHeight="1" x14ac:dyDescent="0.3">
      <c r="B17" s="31" t="s">
        <v>697</v>
      </c>
      <c r="C17" s="63" t="s">
        <v>698</v>
      </c>
      <c r="D17" s="20" t="s">
        <v>699</v>
      </c>
      <c r="E17" s="64" t="s">
        <v>669</v>
      </c>
      <c r="F17" s="45">
        <v>85000</v>
      </c>
      <c r="G17" s="65" t="s">
        <v>700</v>
      </c>
    </row>
    <row r="18" spans="2:7" ht="65.400000000000006" customHeight="1" x14ac:dyDescent="0.3">
      <c r="B18" s="23" t="s">
        <v>701</v>
      </c>
      <c r="C18" s="66" t="s">
        <v>702</v>
      </c>
      <c r="D18" s="14" t="s">
        <v>703</v>
      </c>
      <c r="E18" s="64" t="s">
        <v>669</v>
      </c>
      <c r="F18" s="42">
        <v>125000</v>
      </c>
      <c r="G18" s="67" t="s">
        <v>704</v>
      </c>
    </row>
    <row r="19" spans="2:7" ht="76.2" customHeight="1" x14ac:dyDescent="0.3">
      <c r="B19" s="31" t="s">
        <v>705</v>
      </c>
      <c r="C19" s="63" t="s">
        <v>706</v>
      </c>
      <c r="D19" s="20" t="s">
        <v>707</v>
      </c>
      <c r="E19" s="64" t="s">
        <v>669</v>
      </c>
      <c r="F19" s="45">
        <v>75000</v>
      </c>
      <c r="G19" s="65" t="s">
        <v>708</v>
      </c>
    </row>
    <row r="20" spans="2:7" ht="62.4" customHeight="1" x14ac:dyDescent="0.3">
      <c r="B20" s="23" t="s">
        <v>709</v>
      </c>
      <c r="C20" s="66" t="s">
        <v>710</v>
      </c>
      <c r="D20" s="14" t="s">
        <v>711</v>
      </c>
      <c r="E20" s="64" t="s">
        <v>669</v>
      </c>
      <c r="F20" s="42">
        <v>95000</v>
      </c>
      <c r="G20" s="67" t="s">
        <v>712</v>
      </c>
    </row>
    <row r="21" spans="2:7" ht="67.8" customHeight="1" x14ac:dyDescent="0.3">
      <c r="B21" s="31" t="s">
        <v>713</v>
      </c>
      <c r="C21" s="63" t="s">
        <v>714</v>
      </c>
      <c r="D21" s="20" t="s">
        <v>715</v>
      </c>
      <c r="E21" s="64" t="s">
        <v>660</v>
      </c>
      <c r="F21" s="45">
        <v>450000</v>
      </c>
      <c r="G21" s="65" t="s">
        <v>716</v>
      </c>
    </row>
    <row r="22" spans="2:7" ht="31.5" customHeight="1" x14ac:dyDescent="0.3">
      <c r="B22" s="108" t="s">
        <v>647</v>
      </c>
      <c r="C22" s="108"/>
      <c r="D22" s="108"/>
      <c r="E22" s="108"/>
      <c r="F22" s="68">
        <f>SUM(F7:F21)</f>
        <v>5065000</v>
      </c>
      <c r="G22" s="69"/>
    </row>
  </sheetData>
  <mergeCells count="4">
    <mergeCell ref="B1:G1"/>
    <mergeCell ref="B2:G2"/>
    <mergeCell ref="B4:F4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81C87"/>
  </sheetPr>
  <dimension ref="B1:L48"/>
  <sheetViews>
    <sheetView showGridLines="0" zoomScaleNormal="100" workbookViewId="0">
      <pane xSplit="2" ySplit="4" topLeftCell="C38" activePane="bottomRight" state="frozen"/>
      <selection pane="topRight" activeCell="C1" sqref="C1"/>
      <selection pane="bottomLeft" activeCell="A5" sqref="A5"/>
      <selection pane="bottomRight" activeCell="O11" sqref="O11"/>
    </sheetView>
  </sheetViews>
  <sheetFormatPr defaultColWidth="8.6640625" defaultRowHeight="14.4" x14ac:dyDescent="0.3"/>
  <cols>
    <col min="1" max="1" width="2" customWidth="1"/>
    <col min="2" max="2" width="10" customWidth="1"/>
    <col min="3" max="3" width="30" customWidth="1"/>
    <col min="4" max="4" width="16" customWidth="1"/>
    <col min="5" max="5" width="20.33203125" customWidth="1"/>
    <col min="6" max="6" width="12" customWidth="1"/>
    <col min="7" max="7" width="14" customWidth="1"/>
    <col min="8" max="9" width="12" customWidth="1"/>
    <col min="10" max="10" width="14" customWidth="1"/>
    <col min="11" max="12" width="12" customWidth="1"/>
    <col min="13" max="13" width="2" customWidth="1"/>
  </cols>
  <sheetData>
    <row r="1" spans="2:12" ht="39.75" customHeight="1" x14ac:dyDescent="0.3">
      <c r="B1" s="106" t="s">
        <v>717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2:12" ht="21.75" customHeight="1" x14ac:dyDescent="0.3">
      <c r="B2" s="107" t="s">
        <v>718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ht="7.5" customHeight="1" x14ac:dyDescent="0.3"/>
    <row r="4" spans="2:12" ht="30" customHeight="1" x14ac:dyDescent="0.3">
      <c r="B4" s="9" t="s">
        <v>719</v>
      </c>
      <c r="C4" s="9" t="s">
        <v>720</v>
      </c>
      <c r="D4" s="9" t="s">
        <v>588</v>
      </c>
      <c r="E4" s="9" t="s">
        <v>25</v>
      </c>
      <c r="F4" s="9" t="s">
        <v>67</v>
      </c>
      <c r="G4" s="9" t="s">
        <v>721</v>
      </c>
      <c r="H4" s="9" t="s">
        <v>722</v>
      </c>
      <c r="I4" s="9" t="s">
        <v>723</v>
      </c>
      <c r="J4" s="9" t="s">
        <v>724</v>
      </c>
      <c r="K4" s="9" t="s">
        <v>30</v>
      </c>
      <c r="L4" s="9" t="s">
        <v>725</v>
      </c>
    </row>
    <row r="5" spans="2:12" ht="21.75" customHeight="1" x14ac:dyDescent="0.3">
      <c r="B5" s="31" t="s">
        <v>726</v>
      </c>
      <c r="C5" s="32" t="s">
        <v>727</v>
      </c>
      <c r="D5" s="20" t="s">
        <v>686</v>
      </c>
      <c r="E5" s="70" t="s">
        <v>728</v>
      </c>
      <c r="F5" s="71" t="s">
        <v>729</v>
      </c>
      <c r="G5" s="35">
        <v>180000</v>
      </c>
      <c r="H5" s="19" t="s">
        <v>730</v>
      </c>
      <c r="I5" s="19" t="s">
        <v>731</v>
      </c>
      <c r="J5" s="72" t="s">
        <v>731</v>
      </c>
      <c r="K5" s="58" t="s">
        <v>732</v>
      </c>
      <c r="L5" s="58" t="s">
        <v>733</v>
      </c>
    </row>
    <row r="6" spans="2:12" ht="21.75" customHeight="1" x14ac:dyDescent="0.3">
      <c r="B6" s="23" t="s">
        <v>734</v>
      </c>
      <c r="C6" s="24" t="s">
        <v>735</v>
      </c>
      <c r="D6" s="14" t="s">
        <v>736</v>
      </c>
      <c r="E6" s="73" t="s">
        <v>728</v>
      </c>
      <c r="F6" s="74" t="s">
        <v>729</v>
      </c>
      <c r="G6" s="27">
        <v>1500000</v>
      </c>
      <c r="H6" s="13" t="s">
        <v>730</v>
      </c>
      <c r="I6" s="13" t="s">
        <v>737</v>
      </c>
      <c r="J6" s="75" t="s">
        <v>737</v>
      </c>
      <c r="K6" s="58" t="s">
        <v>732</v>
      </c>
      <c r="L6" s="58" t="s">
        <v>733</v>
      </c>
    </row>
    <row r="7" spans="2:12" ht="21.75" customHeight="1" x14ac:dyDescent="0.3">
      <c r="B7" s="31" t="s">
        <v>738</v>
      </c>
      <c r="C7" s="32" t="s">
        <v>739</v>
      </c>
      <c r="D7" s="20" t="s">
        <v>740</v>
      </c>
      <c r="E7" s="70" t="s">
        <v>728</v>
      </c>
      <c r="F7" s="71" t="s">
        <v>729</v>
      </c>
      <c r="G7" s="35">
        <v>380000</v>
      </c>
      <c r="H7" s="19" t="s">
        <v>741</v>
      </c>
      <c r="I7" s="19" t="s">
        <v>742</v>
      </c>
      <c r="J7" s="72" t="s">
        <v>742</v>
      </c>
      <c r="K7" s="58" t="s">
        <v>732</v>
      </c>
      <c r="L7" s="58" t="s">
        <v>733</v>
      </c>
    </row>
    <row r="8" spans="2:12" ht="21.75" customHeight="1" x14ac:dyDescent="0.3">
      <c r="B8" s="23" t="s">
        <v>743</v>
      </c>
      <c r="C8" s="24" t="s">
        <v>744</v>
      </c>
      <c r="D8" s="14" t="s">
        <v>83</v>
      </c>
      <c r="E8" s="73" t="s">
        <v>31</v>
      </c>
      <c r="F8" s="74">
        <v>1</v>
      </c>
      <c r="G8" s="27">
        <v>756000</v>
      </c>
      <c r="H8" s="13" t="s">
        <v>745</v>
      </c>
      <c r="I8" s="13" t="s">
        <v>746</v>
      </c>
      <c r="J8" s="75" t="s">
        <v>747</v>
      </c>
      <c r="K8" s="58" t="s">
        <v>732</v>
      </c>
      <c r="L8" s="58" t="s">
        <v>733</v>
      </c>
    </row>
    <row r="9" spans="2:12" ht="21.75" customHeight="1" x14ac:dyDescent="0.3">
      <c r="B9" s="31" t="s">
        <v>748</v>
      </c>
      <c r="C9" s="32" t="s">
        <v>749</v>
      </c>
      <c r="D9" s="20" t="s">
        <v>86</v>
      </c>
      <c r="E9" s="70" t="s">
        <v>31</v>
      </c>
      <c r="F9" s="71">
        <v>180</v>
      </c>
      <c r="G9" s="35">
        <v>216000</v>
      </c>
      <c r="H9" s="19" t="s">
        <v>750</v>
      </c>
      <c r="I9" s="19" t="s">
        <v>751</v>
      </c>
      <c r="J9" s="72" t="s">
        <v>751</v>
      </c>
      <c r="K9" s="58" t="s">
        <v>732</v>
      </c>
      <c r="L9" s="58" t="s">
        <v>733</v>
      </c>
    </row>
    <row r="10" spans="2:12" ht="21.75" customHeight="1" x14ac:dyDescent="0.3">
      <c r="B10" s="23" t="s">
        <v>752</v>
      </c>
      <c r="C10" s="24" t="s">
        <v>753</v>
      </c>
      <c r="D10" s="14" t="s">
        <v>79</v>
      </c>
      <c r="E10" s="73" t="s">
        <v>31</v>
      </c>
      <c r="F10" s="74">
        <v>1</v>
      </c>
      <c r="G10" s="27">
        <v>461500</v>
      </c>
      <c r="H10" s="13" t="s">
        <v>751</v>
      </c>
      <c r="I10" s="13" t="s">
        <v>746</v>
      </c>
      <c r="J10" s="75" t="s">
        <v>746</v>
      </c>
      <c r="K10" s="58" t="s">
        <v>732</v>
      </c>
      <c r="L10" s="58" t="s">
        <v>733</v>
      </c>
    </row>
    <row r="11" spans="2:12" ht="21.75" customHeight="1" x14ac:dyDescent="0.3">
      <c r="B11" s="31" t="s">
        <v>754</v>
      </c>
      <c r="C11" s="32" t="s">
        <v>755</v>
      </c>
      <c r="D11" s="20" t="s">
        <v>97</v>
      </c>
      <c r="E11" s="70" t="s">
        <v>31</v>
      </c>
      <c r="F11" s="71">
        <v>30</v>
      </c>
      <c r="G11" s="35">
        <v>2550000</v>
      </c>
      <c r="H11" s="19" t="s">
        <v>746</v>
      </c>
      <c r="I11" s="19" t="s">
        <v>756</v>
      </c>
      <c r="J11" s="72" t="s">
        <v>756</v>
      </c>
      <c r="K11" s="58" t="s">
        <v>732</v>
      </c>
      <c r="L11" s="58" t="s">
        <v>733</v>
      </c>
    </row>
    <row r="12" spans="2:12" ht="21.75" customHeight="1" x14ac:dyDescent="0.3">
      <c r="B12" s="23" t="s">
        <v>757</v>
      </c>
      <c r="C12" s="24" t="s">
        <v>758</v>
      </c>
      <c r="D12" s="14" t="s">
        <v>134</v>
      </c>
      <c r="E12" s="73" t="s">
        <v>31</v>
      </c>
      <c r="F12" s="74">
        <v>200</v>
      </c>
      <c r="G12" s="27">
        <v>1440000</v>
      </c>
      <c r="H12" s="13" t="s">
        <v>759</v>
      </c>
      <c r="I12" s="13" t="s">
        <v>760</v>
      </c>
      <c r="J12" s="75" t="s">
        <v>760</v>
      </c>
      <c r="K12" s="58" t="s">
        <v>732</v>
      </c>
      <c r="L12" s="58" t="s">
        <v>733</v>
      </c>
    </row>
    <row r="13" spans="2:12" ht="21.75" customHeight="1" x14ac:dyDescent="0.3">
      <c r="B13" s="31" t="s">
        <v>761</v>
      </c>
      <c r="C13" s="32" t="s">
        <v>762</v>
      </c>
      <c r="D13" s="20" t="s">
        <v>763</v>
      </c>
      <c r="E13" s="70" t="s">
        <v>31</v>
      </c>
      <c r="F13" s="71">
        <v>1</v>
      </c>
      <c r="G13" s="35">
        <v>1650000</v>
      </c>
      <c r="H13" s="19" t="s">
        <v>764</v>
      </c>
      <c r="I13" s="19" t="s">
        <v>765</v>
      </c>
      <c r="J13" s="72" t="s">
        <v>765</v>
      </c>
      <c r="K13" s="58" t="s">
        <v>732</v>
      </c>
      <c r="L13" s="58" t="s">
        <v>733</v>
      </c>
    </row>
    <row r="14" spans="2:12" ht="21.75" customHeight="1" x14ac:dyDescent="0.3">
      <c r="B14" s="23" t="s">
        <v>766</v>
      </c>
      <c r="C14" s="24" t="s">
        <v>767</v>
      </c>
      <c r="D14" s="14" t="s">
        <v>106</v>
      </c>
      <c r="E14" s="73" t="s">
        <v>31</v>
      </c>
      <c r="F14" s="74">
        <v>47</v>
      </c>
      <c r="G14" s="27">
        <v>2580000</v>
      </c>
      <c r="H14" s="13" t="s">
        <v>768</v>
      </c>
      <c r="I14" s="13" t="s">
        <v>769</v>
      </c>
      <c r="J14" s="75" t="s">
        <v>769</v>
      </c>
      <c r="K14" s="58" t="s">
        <v>732</v>
      </c>
      <c r="L14" s="58" t="s">
        <v>733</v>
      </c>
    </row>
    <row r="15" spans="2:12" ht="21.75" customHeight="1" x14ac:dyDescent="0.3">
      <c r="B15" s="31" t="s">
        <v>770</v>
      </c>
      <c r="C15" s="32" t="s">
        <v>771</v>
      </c>
      <c r="D15" s="20" t="s">
        <v>101</v>
      </c>
      <c r="E15" s="70" t="s">
        <v>31</v>
      </c>
      <c r="F15" s="71">
        <v>1.3</v>
      </c>
      <c r="G15" s="35">
        <v>845000</v>
      </c>
      <c r="H15" s="19" t="s">
        <v>760</v>
      </c>
      <c r="I15" s="19" t="s">
        <v>772</v>
      </c>
      <c r="J15" s="72" t="s">
        <v>772</v>
      </c>
      <c r="K15" s="58" t="s">
        <v>732</v>
      </c>
      <c r="L15" s="58" t="s">
        <v>733</v>
      </c>
    </row>
    <row r="16" spans="2:12" ht="21.75" customHeight="1" x14ac:dyDescent="0.3">
      <c r="B16" s="23" t="s">
        <v>773</v>
      </c>
      <c r="C16" s="24" t="s">
        <v>774</v>
      </c>
      <c r="D16" s="14" t="s">
        <v>775</v>
      </c>
      <c r="E16" s="73" t="s">
        <v>31</v>
      </c>
      <c r="F16" s="74">
        <v>1</v>
      </c>
      <c r="G16" s="27">
        <v>478000</v>
      </c>
      <c r="H16" s="13" t="s">
        <v>768</v>
      </c>
      <c r="I16" s="13" t="s">
        <v>769</v>
      </c>
      <c r="J16" s="75" t="s">
        <v>776</v>
      </c>
      <c r="K16" s="58" t="s">
        <v>732</v>
      </c>
      <c r="L16" s="58" t="s">
        <v>733</v>
      </c>
    </row>
    <row r="17" spans="2:12" ht="21.75" customHeight="1" x14ac:dyDescent="0.3">
      <c r="B17" s="31" t="s">
        <v>777</v>
      </c>
      <c r="C17" s="32" t="s">
        <v>778</v>
      </c>
      <c r="D17" s="20" t="s">
        <v>121</v>
      </c>
      <c r="E17" s="70" t="s">
        <v>37</v>
      </c>
      <c r="F17" s="71">
        <v>4200</v>
      </c>
      <c r="G17" s="35">
        <v>1596000</v>
      </c>
      <c r="H17" s="19" t="s">
        <v>779</v>
      </c>
      <c r="I17" s="19" t="s">
        <v>780</v>
      </c>
      <c r="J17" s="72" t="s">
        <v>781</v>
      </c>
      <c r="K17" s="58" t="s">
        <v>732</v>
      </c>
      <c r="L17" s="58" t="s">
        <v>733</v>
      </c>
    </row>
    <row r="18" spans="2:12" ht="21.75" customHeight="1" x14ac:dyDescent="0.3">
      <c r="B18" s="23" t="s">
        <v>782</v>
      </c>
      <c r="C18" s="24" t="s">
        <v>783</v>
      </c>
      <c r="D18" s="14" t="s">
        <v>121</v>
      </c>
      <c r="E18" s="73" t="s">
        <v>37</v>
      </c>
      <c r="F18" s="74">
        <v>3500</v>
      </c>
      <c r="G18" s="27">
        <v>1120000</v>
      </c>
      <c r="H18" s="13" t="s">
        <v>779</v>
      </c>
      <c r="I18" s="13" t="s">
        <v>780</v>
      </c>
      <c r="J18" s="75" t="s">
        <v>784</v>
      </c>
      <c r="K18" s="58" t="s">
        <v>732</v>
      </c>
      <c r="L18" s="58" t="s">
        <v>733</v>
      </c>
    </row>
    <row r="19" spans="2:12" ht="21.75" customHeight="1" x14ac:dyDescent="0.3">
      <c r="B19" s="31" t="s">
        <v>785</v>
      </c>
      <c r="C19" s="32" t="s">
        <v>786</v>
      </c>
      <c r="D19" s="20" t="s">
        <v>134</v>
      </c>
      <c r="E19" s="70" t="s">
        <v>37</v>
      </c>
      <c r="F19" s="71">
        <v>300</v>
      </c>
      <c r="G19" s="35">
        <v>2160000</v>
      </c>
      <c r="H19" s="19" t="s">
        <v>780</v>
      </c>
      <c r="I19" s="19" t="s">
        <v>781</v>
      </c>
      <c r="J19" s="72" t="s">
        <v>787</v>
      </c>
      <c r="K19" s="58" t="s">
        <v>732</v>
      </c>
      <c r="L19" s="58" t="s">
        <v>733</v>
      </c>
    </row>
    <row r="20" spans="2:12" ht="21.75" customHeight="1" x14ac:dyDescent="0.3">
      <c r="B20" s="23" t="s">
        <v>788</v>
      </c>
      <c r="C20" s="24" t="s">
        <v>789</v>
      </c>
      <c r="D20" s="14" t="s">
        <v>101</v>
      </c>
      <c r="E20" s="73" t="s">
        <v>37</v>
      </c>
      <c r="F20" s="74">
        <v>5.5</v>
      </c>
      <c r="G20" s="27">
        <v>3575000</v>
      </c>
      <c r="H20" s="13" t="s">
        <v>780</v>
      </c>
      <c r="I20" s="13" t="s">
        <v>790</v>
      </c>
      <c r="J20" s="75" t="s">
        <v>791</v>
      </c>
      <c r="K20" s="58" t="s">
        <v>732</v>
      </c>
      <c r="L20" s="58" t="s">
        <v>733</v>
      </c>
    </row>
    <row r="21" spans="2:12" ht="21.75" customHeight="1" x14ac:dyDescent="0.3">
      <c r="B21" s="31" t="s">
        <v>792</v>
      </c>
      <c r="C21" s="32" t="s">
        <v>793</v>
      </c>
      <c r="D21" s="20" t="s">
        <v>106</v>
      </c>
      <c r="E21" s="70" t="s">
        <v>37</v>
      </c>
      <c r="F21" s="71">
        <v>22.5</v>
      </c>
      <c r="G21" s="35">
        <v>1237500</v>
      </c>
      <c r="H21" s="19" t="s">
        <v>794</v>
      </c>
      <c r="I21" s="19" t="s">
        <v>795</v>
      </c>
      <c r="J21" s="72" t="s">
        <v>795</v>
      </c>
      <c r="K21" s="58" t="s">
        <v>732</v>
      </c>
      <c r="L21" s="58" t="s">
        <v>733</v>
      </c>
    </row>
    <row r="22" spans="2:12" ht="21.75" customHeight="1" x14ac:dyDescent="0.3">
      <c r="B22" s="23" t="s">
        <v>796</v>
      </c>
      <c r="C22" s="24" t="s">
        <v>797</v>
      </c>
      <c r="D22" s="14" t="s">
        <v>113</v>
      </c>
      <c r="E22" s="73" t="s">
        <v>37</v>
      </c>
      <c r="F22" s="74">
        <v>1</v>
      </c>
      <c r="G22" s="27">
        <v>905000</v>
      </c>
      <c r="H22" s="13" t="s">
        <v>798</v>
      </c>
      <c r="I22" s="13" t="s">
        <v>799</v>
      </c>
      <c r="J22" s="75" t="s">
        <v>800</v>
      </c>
      <c r="K22" s="58" t="s">
        <v>732</v>
      </c>
      <c r="L22" s="58" t="s">
        <v>733</v>
      </c>
    </row>
    <row r="23" spans="2:12" ht="21.75" customHeight="1" x14ac:dyDescent="0.3">
      <c r="B23" s="31" t="s">
        <v>801</v>
      </c>
      <c r="C23" s="32" t="s">
        <v>802</v>
      </c>
      <c r="D23" s="20" t="s">
        <v>121</v>
      </c>
      <c r="E23" s="70" t="s">
        <v>43</v>
      </c>
      <c r="F23" s="71">
        <v>2800</v>
      </c>
      <c r="G23" s="35">
        <v>868000</v>
      </c>
      <c r="H23" s="19" t="s">
        <v>803</v>
      </c>
      <c r="I23" s="19" t="s">
        <v>804</v>
      </c>
      <c r="J23" s="72" t="s">
        <v>805</v>
      </c>
      <c r="K23" s="58" t="s">
        <v>732</v>
      </c>
      <c r="L23" s="58" t="s">
        <v>733</v>
      </c>
    </row>
    <row r="24" spans="2:12" ht="21.75" customHeight="1" x14ac:dyDescent="0.3">
      <c r="B24" s="23" t="s">
        <v>806</v>
      </c>
      <c r="C24" s="24" t="s">
        <v>807</v>
      </c>
      <c r="D24" s="14" t="s">
        <v>134</v>
      </c>
      <c r="E24" s="73" t="s">
        <v>43</v>
      </c>
      <c r="F24" s="74">
        <v>150</v>
      </c>
      <c r="G24" s="27">
        <v>1080000</v>
      </c>
      <c r="H24" s="13" t="s">
        <v>803</v>
      </c>
      <c r="I24" s="13" t="s">
        <v>808</v>
      </c>
      <c r="J24" s="75" t="s">
        <v>808</v>
      </c>
      <c r="K24" s="58" t="s">
        <v>732</v>
      </c>
      <c r="L24" s="58" t="s">
        <v>733</v>
      </c>
    </row>
    <row r="25" spans="2:12" ht="21.75" customHeight="1" x14ac:dyDescent="0.3">
      <c r="B25" s="31" t="s">
        <v>809</v>
      </c>
      <c r="C25" s="32" t="s">
        <v>810</v>
      </c>
      <c r="D25" s="20" t="s">
        <v>106</v>
      </c>
      <c r="E25" s="70" t="s">
        <v>43</v>
      </c>
      <c r="F25" s="71">
        <v>22.5</v>
      </c>
      <c r="G25" s="35">
        <v>1237500</v>
      </c>
      <c r="H25" s="19" t="s">
        <v>811</v>
      </c>
      <c r="I25" s="19" t="s">
        <v>812</v>
      </c>
      <c r="J25" s="72" t="s">
        <v>812</v>
      </c>
      <c r="K25" s="58" t="s">
        <v>732</v>
      </c>
      <c r="L25" s="58" t="s">
        <v>733</v>
      </c>
    </row>
    <row r="26" spans="2:12" ht="21.75" customHeight="1" x14ac:dyDescent="0.3">
      <c r="B26" s="23" t="s">
        <v>813</v>
      </c>
      <c r="C26" s="24" t="s">
        <v>814</v>
      </c>
      <c r="D26" s="14" t="s">
        <v>101</v>
      </c>
      <c r="E26" s="73" t="s">
        <v>43</v>
      </c>
      <c r="F26" s="74">
        <v>0.8</v>
      </c>
      <c r="G26" s="27">
        <v>520000</v>
      </c>
      <c r="H26" s="13" t="s">
        <v>815</v>
      </c>
      <c r="I26" s="13" t="s">
        <v>816</v>
      </c>
      <c r="J26" s="75" t="s">
        <v>816</v>
      </c>
      <c r="K26" s="58" t="s">
        <v>732</v>
      </c>
      <c r="L26" s="58" t="s">
        <v>733</v>
      </c>
    </row>
    <row r="27" spans="2:12" ht="21.75" customHeight="1" x14ac:dyDescent="0.3">
      <c r="B27" s="31" t="s">
        <v>817</v>
      </c>
      <c r="C27" s="32" t="s">
        <v>818</v>
      </c>
      <c r="D27" s="20" t="s">
        <v>113</v>
      </c>
      <c r="E27" s="70" t="s">
        <v>47</v>
      </c>
      <c r="F27" s="71">
        <v>1</v>
      </c>
      <c r="G27" s="35">
        <v>792000</v>
      </c>
      <c r="H27" s="19" t="s">
        <v>819</v>
      </c>
      <c r="I27" s="19" t="s">
        <v>820</v>
      </c>
      <c r="J27" s="72" t="s">
        <v>821</v>
      </c>
      <c r="K27" s="58" t="s">
        <v>732</v>
      </c>
      <c r="L27" s="58" t="s">
        <v>733</v>
      </c>
    </row>
    <row r="28" spans="2:12" ht="21.75" customHeight="1" x14ac:dyDescent="0.3">
      <c r="B28" s="23" t="s">
        <v>822</v>
      </c>
      <c r="C28" s="24" t="s">
        <v>823</v>
      </c>
      <c r="D28" s="14" t="s">
        <v>176</v>
      </c>
      <c r="E28" s="73" t="s">
        <v>47</v>
      </c>
      <c r="F28" s="74">
        <v>280</v>
      </c>
      <c r="G28" s="27">
        <v>1064000</v>
      </c>
      <c r="H28" s="13" t="s">
        <v>819</v>
      </c>
      <c r="I28" s="13" t="s">
        <v>824</v>
      </c>
      <c r="J28" s="75" t="s">
        <v>824</v>
      </c>
      <c r="K28" s="58" t="s">
        <v>732</v>
      </c>
      <c r="L28" s="58" t="s">
        <v>733</v>
      </c>
    </row>
    <row r="29" spans="2:12" ht="21.75" customHeight="1" x14ac:dyDescent="0.3">
      <c r="B29" s="31" t="s">
        <v>825</v>
      </c>
      <c r="C29" s="32" t="s">
        <v>826</v>
      </c>
      <c r="D29" s="20" t="s">
        <v>827</v>
      </c>
      <c r="E29" s="70" t="s">
        <v>47</v>
      </c>
      <c r="F29" s="71">
        <v>1</v>
      </c>
      <c r="G29" s="35">
        <v>598500</v>
      </c>
      <c r="H29" s="19" t="s">
        <v>828</v>
      </c>
      <c r="I29" s="19" t="s">
        <v>829</v>
      </c>
      <c r="J29" s="72" t="s">
        <v>830</v>
      </c>
      <c r="K29" s="58" t="s">
        <v>732</v>
      </c>
      <c r="L29" s="58" t="s">
        <v>733</v>
      </c>
    </row>
    <row r="30" spans="2:12" ht="21.75" customHeight="1" x14ac:dyDescent="0.3">
      <c r="B30" s="23" t="s">
        <v>831</v>
      </c>
      <c r="C30" s="24" t="s">
        <v>832</v>
      </c>
      <c r="D30" s="14" t="s">
        <v>225</v>
      </c>
      <c r="E30" s="73" t="s">
        <v>52</v>
      </c>
      <c r="F30" s="74">
        <v>1</v>
      </c>
      <c r="G30" s="27">
        <v>2714000</v>
      </c>
      <c r="H30" s="13" t="s">
        <v>833</v>
      </c>
      <c r="I30" s="13" t="s">
        <v>834</v>
      </c>
      <c r="J30" s="75" t="s">
        <v>835</v>
      </c>
      <c r="K30" s="58" t="s">
        <v>732</v>
      </c>
      <c r="L30" s="16" t="s">
        <v>836</v>
      </c>
    </row>
    <row r="31" spans="2:12" ht="21.75" customHeight="1" x14ac:dyDescent="0.3">
      <c r="B31" s="31" t="s">
        <v>837</v>
      </c>
      <c r="C31" s="32" t="s">
        <v>838</v>
      </c>
      <c r="D31" s="20" t="s">
        <v>242</v>
      </c>
      <c r="E31" s="70" t="s">
        <v>52</v>
      </c>
      <c r="F31" s="71">
        <v>1</v>
      </c>
      <c r="G31" s="35">
        <v>645000</v>
      </c>
      <c r="H31" s="19" t="s">
        <v>833</v>
      </c>
      <c r="I31" s="19" t="s">
        <v>834</v>
      </c>
      <c r="J31" s="48"/>
      <c r="K31" s="21" t="s">
        <v>839</v>
      </c>
      <c r="L31" s="64" t="s">
        <v>840</v>
      </c>
    </row>
    <row r="32" spans="2:12" ht="21.75" customHeight="1" x14ac:dyDescent="0.3">
      <c r="B32" s="23" t="s">
        <v>841</v>
      </c>
      <c r="C32" s="24" t="s">
        <v>842</v>
      </c>
      <c r="D32" s="14" t="s">
        <v>260</v>
      </c>
      <c r="E32" s="73" t="s">
        <v>52</v>
      </c>
      <c r="F32" s="74">
        <v>1</v>
      </c>
      <c r="G32" s="27">
        <v>1086000</v>
      </c>
      <c r="H32" s="13" t="s">
        <v>833</v>
      </c>
      <c r="I32" s="13" t="s">
        <v>843</v>
      </c>
      <c r="J32" s="75" t="s">
        <v>843</v>
      </c>
      <c r="K32" s="58" t="s">
        <v>732</v>
      </c>
      <c r="L32" s="58" t="s">
        <v>733</v>
      </c>
    </row>
    <row r="33" spans="2:12" ht="21.75" customHeight="1" x14ac:dyDescent="0.3">
      <c r="B33" s="31" t="s">
        <v>844</v>
      </c>
      <c r="C33" s="32" t="s">
        <v>845</v>
      </c>
      <c r="D33" s="20" t="s">
        <v>846</v>
      </c>
      <c r="E33" s="70" t="s">
        <v>52</v>
      </c>
      <c r="F33" s="71">
        <v>1</v>
      </c>
      <c r="G33" s="35">
        <v>428200</v>
      </c>
      <c r="H33" s="19" t="s">
        <v>847</v>
      </c>
      <c r="I33" s="19" t="s">
        <v>834</v>
      </c>
      <c r="J33" s="48"/>
      <c r="K33" s="64" t="s">
        <v>848</v>
      </c>
      <c r="L33" s="76" t="s">
        <v>849</v>
      </c>
    </row>
    <row r="34" spans="2:12" ht="21.75" customHeight="1" x14ac:dyDescent="0.3">
      <c r="B34" s="23" t="s">
        <v>850</v>
      </c>
      <c r="C34" s="24" t="s">
        <v>851</v>
      </c>
      <c r="D34" s="14" t="s">
        <v>852</v>
      </c>
      <c r="E34" s="73" t="s">
        <v>52</v>
      </c>
      <c r="F34" s="74">
        <v>1</v>
      </c>
      <c r="G34" s="27">
        <v>1472000</v>
      </c>
      <c r="H34" s="13" t="s">
        <v>847</v>
      </c>
      <c r="I34" s="13" t="s">
        <v>853</v>
      </c>
      <c r="J34" s="47"/>
      <c r="K34" s="21" t="s">
        <v>839</v>
      </c>
      <c r="L34" s="64" t="s">
        <v>840</v>
      </c>
    </row>
    <row r="35" spans="2:12" ht="21.75" customHeight="1" x14ac:dyDescent="0.3">
      <c r="B35" s="31" t="s">
        <v>854</v>
      </c>
      <c r="C35" s="32" t="s">
        <v>855</v>
      </c>
      <c r="D35" s="20" t="s">
        <v>199</v>
      </c>
      <c r="E35" s="70" t="s">
        <v>52</v>
      </c>
      <c r="F35" s="71">
        <v>20</v>
      </c>
      <c r="G35" s="35">
        <v>1542000</v>
      </c>
      <c r="H35" s="19" t="s">
        <v>834</v>
      </c>
      <c r="I35" s="19" t="s">
        <v>856</v>
      </c>
      <c r="J35" s="48"/>
      <c r="K35" s="21" t="s">
        <v>839</v>
      </c>
      <c r="L35" s="64" t="s">
        <v>840</v>
      </c>
    </row>
    <row r="36" spans="2:12" ht="21.75" customHeight="1" x14ac:dyDescent="0.3">
      <c r="B36" s="23" t="s">
        <v>857</v>
      </c>
      <c r="C36" s="24" t="s">
        <v>858</v>
      </c>
      <c r="D36" s="14" t="s">
        <v>204</v>
      </c>
      <c r="E36" s="73" t="s">
        <v>52</v>
      </c>
      <c r="F36" s="74">
        <v>2</v>
      </c>
      <c r="G36" s="27">
        <v>660000</v>
      </c>
      <c r="H36" s="13" t="s">
        <v>834</v>
      </c>
      <c r="I36" s="13" t="s">
        <v>853</v>
      </c>
      <c r="J36" s="47"/>
      <c r="K36" s="21" t="s">
        <v>839</v>
      </c>
      <c r="L36" s="76" t="s">
        <v>849</v>
      </c>
    </row>
    <row r="37" spans="2:12" ht="21.75" customHeight="1" x14ac:dyDescent="0.3">
      <c r="B37" s="31" t="s">
        <v>859</v>
      </c>
      <c r="C37" s="32" t="s">
        <v>860</v>
      </c>
      <c r="D37" s="20" t="s">
        <v>209</v>
      </c>
      <c r="E37" s="70" t="s">
        <v>57</v>
      </c>
      <c r="F37" s="71">
        <v>12</v>
      </c>
      <c r="G37" s="35">
        <v>742200</v>
      </c>
      <c r="H37" s="19" t="s">
        <v>861</v>
      </c>
      <c r="I37" s="19" t="s">
        <v>862</v>
      </c>
      <c r="J37" s="48"/>
      <c r="K37" s="77" t="s">
        <v>863</v>
      </c>
      <c r="L37" s="76" t="s">
        <v>849</v>
      </c>
    </row>
    <row r="38" spans="2:12" ht="21.75" customHeight="1" x14ac:dyDescent="0.3">
      <c r="B38" s="23" t="s">
        <v>864</v>
      </c>
      <c r="C38" s="24" t="s">
        <v>865</v>
      </c>
      <c r="D38" s="14" t="s">
        <v>318</v>
      </c>
      <c r="E38" s="73" t="s">
        <v>57</v>
      </c>
      <c r="F38" s="74">
        <v>1</v>
      </c>
      <c r="G38" s="27">
        <v>3876500</v>
      </c>
      <c r="H38" s="13" t="s">
        <v>862</v>
      </c>
      <c r="I38" s="13" t="s">
        <v>866</v>
      </c>
      <c r="J38" s="47"/>
      <c r="K38" s="77" t="s">
        <v>863</v>
      </c>
      <c r="L38" s="76" t="s">
        <v>849</v>
      </c>
    </row>
    <row r="39" spans="2:12" ht="21.75" customHeight="1" x14ac:dyDescent="0.3">
      <c r="B39" s="31" t="s">
        <v>867</v>
      </c>
      <c r="C39" s="32" t="s">
        <v>868</v>
      </c>
      <c r="D39" s="20" t="s">
        <v>329</v>
      </c>
      <c r="E39" s="70" t="s">
        <v>57</v>
      </c>
      <c r="F39" s="71">
        <v>1</v>
      </c>
      <c r="G39" s="35">
        <v>534000</v>
      </c>
      <c r="H39" s="19" t="s">
        <v>862</v>
      </c>
      <c r="I39" s="19" t="s">
        <v>869</v>
      </c>
      <c r="J39" s="48"/>
      <c r="K39" s="77" t="s">
        <v>863</v>
      </c>
      <c r="L39" s="76" t="s">
        <v>849</v>
      </c>
    </row>
    <row r="40" spans="2:12" ht="21.75" customHeight="1" x14ac:dyDescent="0.3">
      <c r="B40" s="23" t="s">
        <v>870</v>
      </c>
      <c r="C40" s="24" t="s">
        <v>871</v>
      </c>
      <c r="D40" s="14" t="s">
        <v>342</v>
      </c>
      <c r="E40" s="73" t="s">
        <v>57</v>
      </c>
      <c r="F40" s="74">
        <v>1</v>
      </c>
      <c r="G40" s="27">
        <v>1562000</v>
      </c>
      <c r="H40" s="13" t="s">
        <v>866</v>
      </c>
      <c r="I40" s="13" t="s">
        <v>872</v>
      </c>
      <c r="J40" s="47"/>
      <c r="K40" s="77" t="s">
        <v>863</v>
      </c>
      <c r="L40" s="76" t="s">
        <v>849</v>
      </c>
    </row>
    <row r="41" spans="2:12" ht="21.75" customHeight="1" x14ac:dyDescent="0.3">
      <c r="B41" s="31" t="s">
        <v>873</v>
      </c>
      <c r="C41" s="32" t="s">
        <v>874</v>
      </c>
      <c r="D41" s="20" t="s">
        <v>308</v>
      </c>
      <c r="E41" s="70" t="s">
        <v>57</v>
      </c>
      <c r="F41" s="71">
        <v>1</v>
      </c>
      <c r="G41" s="35">
        <v>1623000</v>
      </c>
      <c r="H41" s="19" t="s">
        <v>866</v>
      </c>
      <c r="I41" s="19" t="s">
        <v>875</v>
      </c>
      <c r="J41" s="48"/>
      <c r="K41" s="77" t="s">
        <v>863</v>
      </c>
      <c r="L41" s="76" t="s">
        <v>849</v>
      </c>
    </row>
    <row r="42" spans="2:12" ht="21.75" customHeight="1" x14ac:dyDescent="0.3">
      <c r="B42" s="23" t="s">
        <v>876</v>
      </c>
      <c r="C42" s="24" t="s">
        <v>877</v>
      </c>
      <c r="D42" s="14" t="s">
        <v>360</v>
      </c>
      <c r="E42" s="73" t="s">
        <v>57</v>
      </c>
      <c r="F42" s="74">
        <v>1</v>
      </c>
      <c r="G42" s="27">
        <v>1391000</v>
      </c>
      <c r="H42" s="13" t="s">
        <v>878</v>
      </c>
      <c r="I42" s="13" t="s">
        <v>879</v>
      </c>
      <c r="J42" s="47"/>
      <c r="K42" s="77" t="s">
        <v>863</v>
      </c>
      <c r="L42" s="76" t="s">
        <v>849</v>
      </c>
    </row>
    <row r="43" spans="2:12" ht="21.75" customHeight="1" x14ac:dyDescent="0.3">
      <c r="B43" s="31" t="s">
        <v>880</v>
      </c>
      <c r="C43" s="32" t="s">
        <v>881</v>
      </c>
      <c r="D43" s="20" t="s">
        <v>882</v>
      </c>
      <c r="E43" s="70" t="s">
        <v>57</v>
      </c>
      <c r="F43" s="71">
        <v>1</v>
      </c>
      <c r="G43" s="35">
        <v>3659000</v>
      </c>
      <c r="H43" s="19" t="s">
        <v>883</v>
      </c>
      <c r="I43" s="19" t="s">
        <v>884</v>
      </c>
      <c r="J43" s="48"/>
      <c r="K43" s="77" t="s">
        <v>863</v>
      </c>
      <c r="L43" s="76" t="s">
        <v>849</v>
      </c>
    </row>
    <row r="44" spans="2:12" ht="21.75" customHeight="1" x14ac:dyDescent="0.3">
      <c r="B44" s="23" t="s">
        <v>885</v>
      </c>
      <c r="C44" s="24" t="s">
        <v>886</v>
      </c>
      <c r="D44" s="14" t="s">
        <v>387</v>
      </c>
      <c r="E44" s="73" t="s">
        <v>57</v>
      </c>
      <c r="F44" s="74">
        <v>1</v>
      </c>
      <c r="G44" s="27">
        <v>1200000</v>
      </c>
      <c r="H44" s="13" t="s">
        <v>887</v>
      </c>
      <c r="I44" s="13" t="s">
        <v>888</v>
      </c>
      <c r="J44" s="47"/>
      <c r="K44" s="77" t="s">
        <v>863</v>
      </c>
      <c r="L44" s="76" t="s">
        <v>849</v>
      </c>
    </row>
    <row r="45" spans="2:12" ht="31.5" customHeight="1" x14ac:dyDescent="0.3">
      <c r="B45" s="108" t="s">
        <v>889</v>
      </c>
      <c r="C45" s="108"/>
      <c r="D45" s="108"/>
      <c r="E45" s="108"/>
      <c r="F45" s="108"/>
      <c r="G45" s="68">
        <f>SUM(G5:G44)</f>
        <v>52924900</v>
      </c>
      <c r="H45" s="69"/>
      <c r="I45" s="69"/>
      <c r="J45" s="69"/>
      <c r="K45" s="69"/>
      <c r="L45" s="69"/>
    </row>
    <row r="46" spans="2:12" ht="12" customHeight="1" x14ac:dyDescent="0.3"/>
    <row r="47" spans="2:12" ht="21.75" customHeight="1" x14ac:dyDescent="0.3">
      <c r="B47" s="109" t="s">
        <v>890</v>
      </c>
      <c r="C47" s="109"/>
      <c r="D47" s="109"/>
      <c r="E47" s="110" t="s">
        <v>732</v>
      </c>
      <c r="F47" s="110"/>
      <c r="G47" s="110"/>
      <c r="H47" s="111" t="s">
        <v>891</v>
      </c>
      <c r="I47" s="111"/>
      <c r="J47" s="111"/>
      <c r="K47" s="112" t="s">
        <v>733</v>
      </c>
      <c r="L47" s="112"/>
    </row>
    <row r="48" spans="2:12" ht="42" customHeight="1" x14ac:dyDescent="0.3">
      <c r="B48" s="102">
        <f>COUNTA(B5:B44)</f>
        <v>40</v>
      </c>
      <c r="C48" s="102"/>
      <c r="D48" s="102"/>
      <c r="E48" s="103">
        <f>COUNTIF(K5:K44,"DELIVERED")</f>
        <v>27</v>
      </c>
      <c r="F48" s="103"/>
      <c r="G48" s="103"/>
      <c r="H48" s="104">
        <f>COUNTIF(K5:K44,"ON ORDER")+COUNTIF(K5:K44,"PENDING")</f>
        <v>12</v>
      </c>
      <c r="I48" s="104"/>
      <c r="J48" s="104"/>
      <c r="K48" s="105">
        <f>COUNTIF(L5:L44,"PAID")</f>
        <v>26</v>
      </c>
      <c r="L48" s="105"/>
    </row>
  </sheetData>
  <mergeCells count="11">
    <mergeCell ref="B48:D48"/>
    <mergeCell ref="E48:G48"/>
    <mergeCell ref="H48:J48"/>
    <mergeCell ref="K48:L48"/>
    <mergeCell ref="B1:L1"/>
    <mergeCell ref="B2:L2"/>
    <mergeCell ref="B45:F45"/>
    <mergeCell ref="B47:D47"/>
    <mergeCell ref="E47:G47"/>
    <mergeCell ref="H47:J47"/>
    <mergeCell ref="K47:L4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532D"/>
  </sheetPr>
  <dimension ref="B1:G24"/>
  <sheetViews>
    <sheetView showGridLines="0" zoomScaleNormal="100" workbookViewId="0">
      <selection activeCell="J6" sqref="J6"/>
    </sheetView>
  </sheetViews>
  <sheetFormatPr defaultColWidth="8.6640625" defaultRowHeight="14.4" x14ac:dyDescent="0.3"/>
  <cols>
    <col min="1" max="1" width="2" customWidth="1"/>
    <col min="2" max="2" width="22" customWidth="1"/>
    <col min="3" max="3" width="21" customWidth="1"/>
    <col min="4" max="4" width="23.77734375" customWidth="1"/>
    <col min="5" max="5" width="25.44140625" customWidth="1"/>
    <col min="6" max="7" width="16" customWidth="1"/>
    <col min="8" max="8" width="2" customWidth="1"/>
  </cols>
  <sheetData>
    <row r="1" spans="2:7" ht="39.75" customHeight="1" x14ac:dyDescent="0.3">
      <c r="B1" s="106" t="s">
        <v>892</v>
      </c>
      <c r="C1" s="106"/>
      <c r="D1" s="106"/>
      <c r="E1" s="106"/>
      <c r="F1" s="106"/>
      <c r="G1" s="106"/>
    </row>
    <row r="2" spans="2:7" ht="21.75" customHeight="1" x14ac:dyDescent="0.3">
      <c r="B2" s="144" t="s">
        <v>893</v>
      </c>
      <c r="C2" s="144"/>
      <c r="D2" s="144"/>
      <c r="E2" s="144"/>
      <c r="F2" s="144"/>
      <c r="G2" s="144"/>
    </row>
    <row r="3" spans="2:7" ht="7.5" customHeight="1" x14ac:dyDescent="0.3"/>
    <row r="4" spans="2:7" ht="21.75" customHeight="1" x14ac:dyDescent="0.3">
      <c r="B4" s="78" t="s">
        <v>894</v>
      </c>
      <c r="C4" s="81" t="s">
        <v>895</v>
      </c>
      <c r="D4" s="80" t="s">
        <v>896</v>
      </c>
      <c r="E4" s="82" t="s">
        <v>897</v>
      </c>
      <c r="F4" s="79" t="s">
        <v>898</v>
      </c>
    </row>
    <row r="5" spans="2:7" ht="39.75" customHeight="1" x14ac:dyDescent="0.3">
      <c r="B5" s="83">
        <f>'Bill of Quantities'!L175</f>
        <v>63574700</v>
      </c>
      <c r="C5" s="84">
        <f>'Labour Cost'!J4</f>
        <v>49765000</v>
      </c>
      <c r="D5" s="85">
        <f>'Professional Fees'!F4</f>
        <v>0</v>
      </c>
      <c r="E5" s="86">
        <f>('Bill of Quantities'!L175+'Labour Cost'!J4+'Professional Fees'!F4)*0.1</f>
        <v>11333970</v>
      </c>
      <c r="F5" s="87">
        <f>'Bill of Quantities'!L175+'Labour Cost'!J4+'Professional Fees'!F4+('Bill of Quantities'!L175+'Labour Cost'!J4+'Professional Fees'!F4)*0.1</f>
        <v>124673670</v>
      </c>
    </row>
    <row r="6" spans="2:7" ht="15.75" customHeight="1" x14ac:dyDescent="0.3">
      <c r="B6" s="5" t="s">
        <v>22</v>
      </c>
      <c r="C6" s="6" t="s">
        <v>22</v>
      </c>
      <c r="D6" s="7" t="s">
        <v>22</v>
      </c>
      <c r="E6" s="8" t="s">
        <v>22</v>
      </c>
      <c r="F6" s="88" t="s">
        <v>22</v>
      </c>
    </row>
    <row r="7" spans="2:7" ht="12" customHeight="1" x14ac:dyDescent="0.3"/>
    <row r="8" spans="2:7" ht="25.5" customHeight="1" x14ac:dyDescent="0.3">
      <c r="B8" s="119" t="s">
        <v>899</v>
      </c>
      <c r="C8" s="119"/>
      <c r="D8" s="119"/>
      <c r="E8" s="119"/>
      <c r="F8" s="119"/>
      <c r="G8" s="119"/>
    </row>
    <row r="9" spans="2:7" ht="27.75" customHeight="1" x14ac:dyDescent="0.3">
      <c r="B9" s="9" t="s">
        <v>25</v>
      </c>
      <c r="C9" s="9" t="s">
        <v>26</v>
      </c>
      <c r="D9" s="9" t="s">
        <v>900</v>
      </c>
      <c r="E9" s="9" t="s">
        <v>901</v>
      </c>
      <c r="F9" s="9" t="s">
        <v>902</v>
      </c>
      <c r="G9" s="9" t="s">
        <v>903</v>
      </c>
    </row>
    <row r="10" spans="2:7" ht="45.6" customHeight="1" x14ac:dyDescent="0.3">
      <c r="B10" s="89" t="s">
        <v>31</v>
      </c>
      <c r="C10" s="1" t="s">
        <v>904</v>
      </c>
      <c r="D10" s="90">
        <v>3392000</v>
      </c>
      <c r="E10" s="27">
        <v>825000</v>
      </c>
      <c r="F10" s="91">
        <f t="shared" ref="F10:F15" si="0">D10+E10</f>
        <v>4217000</v>
      </c>
      <c r="G10" s="92">
        <f>F10/SUM(F10:F15)</f>
        <v>9.2949544509761131E-2</v>
      </c>
    </row>
    <row r="11" spans="2:7" ht="53.4" customHeight="1" x14ac:dyDescent="0.3">
      <c r="B11" s="93" t="s">
        <v>37</v>
      </c>
      <c r="C11" s="2" t="s">
        <v>905</v>
      </c>
      <c r="D11" s="94">
        <v>7255000</v>
      </c>
      <c r="E11" s="35">
        <v>1980000</v>
      </c>
      <c r="F11" s="95">
        <f t="shared" si="0"/>
        <v>9235000</v>
      </c>
      <c r="G11" s="96">
        <f>F11/SUM(F10:F15)</f>
        <v>0.20355443290197867</v>
      </c>
    </row>
    <row r="12" spans="2:7" ht="46.2" customHeight="1" x14ac:dyDescent="0.3">
      <c r="B12" s="89" t="s">
        <v>43</v>
      </c>
      <c r="C12" s="1" t="s">
        <v>44</v>
      </c>
      <c r="D12" s="90">
        <v>5620000</v>
      </c>
      <c r="E12" s="27">
        <v>1820000</v>
      </c>
      <c r="F12" s="91">
        <f t="shared" si="0"/>
        <v>7440000</v>
      </c>
      <c r="G12" s="92">
        <f>F12/SUM(F10:F15)</f>
        <v>0.16398971096813442</v>
      </c>
    </row>
    <row r="13" spans="2:7" ht="39.6" customHeight="1" x14ac:dyDescent="0.3">
      <c r="B13" s="93" t="s">
        <v>47</v>
      </c>
      <c r="C13" s="2" t="s">
        <v>406</v>
      </c>
      <c r="D13" s="94">
        <v>3491500</v>
      </c>
      <c r="E13" s="35">
        <v>760000</v>
      </c>
      <c r="F13" s="95">
        <f t="shared" si="0"/>
        <v>4251500</v>
      </c>
      <c r="G13" s="96">
        <f>F13/SUM(F10:F15)</f>
        <v>9.3709980669492404E-2</v>
      </c>
    </row>
    <row r="14" spans="2:7" ht="42.6" customHeight="1" x14ac:dyDescent="0.3">
      <c r="B14" s="89" t="s">
        <v>52</v>
      </c>
      <c r="C14" s="1" t="s">
        <v>906</v>
      </c>
      <c r="D14" s="90">
        <v>6345200</v>
      </c>
      <c r="E14" s="27">
        <v>1380000</v>
      </c>
      <c r="F14" s="91">
        <f t="shared" si="0"/>
        <v>7725200</v>
      </c>
      <c r="G14" s="92">
        <f>F14/SUM(F10:F15)</f>
        <v>0.1702759832219129</v>
      </c>
    </row>
    <row r="15" spans="2:7" ht="49.2" customHeight="1" x14ac:dyDescent="0.3">
      <c r="B15" s="93" t="s">
        <v>57</v>
      </c>
      <c r="C15" s="2" t="s">
        <v>907</v>
      </c>
      <c r="D15" s="94">
        <v>9850000</v>
      </c>
      <c r="E15" s="35">
        <v>2650000</v>
      </c>
      <c r="F15" s="95">
        <f t="shared" si="0"/>
        <v>12500000</v>
      </c>
      <c r="G15" s="96">
        <f>F15/SUM(F10:F15)</f>
        <v>0.27552034772872047</v>
      </c>
    </row>
    <row r="16" spans="2:7" ht="30" customHeight="1" x14ac:dyDescent="0.3">
      <c r="B16" s="153" t="s">
        <v>908</v>
      </c>
      <c r="C16" s="153"/>
      <c r="D16" s="97">
        <f>SUM(D10:D15)</f>
        <v>35953700</v>
      </c>
      <c r="E16" s="98">
        <f>SUM(E10:E15)</f>
        <v>9415000</v>
      </c>
      <c r="F16" s="99">
        <f>SUM(F10:F15)</f>
        <v>45368700</v>
      </c>
      <c r="G16" s="100"/>
    </row>
    <row r="17" spans="2:7" ht="12" customHeight="1" x14ac:dyDescent="0.3"/>
    <row r="18" spans="2:7" ht="25.5" customHeight="1" x14ac:dyDescent="0.3">
      <c r="B18" s="136" t="s">
        <v>909</v>
      </c>
      <c r="C18" s="136"/>
      <c r="D18" s="136"/>
      <c r="E18" s="136"/>
      <c r="F18" s="136"/>
      <c r="G18" s="136"/>
    </row>
    <row r="19" spans="2:7" ht="30" customHeight="1" x14ac:dyDescent="0.3">
      <c r="B19" s="101" t="s">
        <v>910</v>
      </c>
      <c r="C19" s="152" t="s">
        <v>911</v>
      </c>
      <c r="D19" s="152"/>
      <c r="E19" s="152"/>
      <c r="F19" s="151" t="s">
        <v>912</v>
      </c>
      <c r="G19" s="151"/>
    </row>
    <row r="20" spans="2:7" ht="30" customHeight="1" x14ac:dyDescent="0.3">
      <c r="B20" s="101" t="s">
        <v>913</v>
      </c>
      <c r="C20" s="150" t="s">
        <v>914</v>
      </c>
      <c r="D20" s="150"/>
      <c r="E20" s="150"/>
      <c r="F20" s="151" t="s">
        <v>915</v>
      </c>
      <c r="G20" s="151"/>
    </row>
    <row r="21" spans="2:7" ht="30" customHeight="1" x14ac:dyDescent="0.3">
      <c r="B21" s="101" t="s">
        <v>916</v>
      </c>
      <c r="C21" s="152" t="s">
        <v>917</v>
      </c>
      <c r="D21" s="152"/>
      <c r="E21" s="152"/>
      <c r="F21" s="151" t="s">
        <v>918</v>
      </c>
      <c r="G21" s="151"/>
    </row>
    <row r="22" spans="2:7" ht="30" customHeight="1" x14ac:dyDescent="0.3">
      <c r="B22" s="101" t="s">
        <v>919</v>
      </c>
      <c r="C22" s="150" t="s">
        <v>920</v>
      </c>
      <c r="D22" s="150"/>
      <c r="E22" s="150"/>
      <c r="F22" s="151" t="s">
        <v>921</v>
      </c>
      <c r="G22" s="151"/>
    </row>
    <row r="23" spans="2:7" ht="30" customHeight="1" x14ac:dyDescent="0.3">
      <c r="B23" s="101" t="s">
        <v>922</v>
      </c>
      <c r="C23" s="152" t="s">
        <v>923</v>
      </c>
      <c r="D23" s="152"/>
      <c r="E23" s="152"/>
      <c r="F23" s="151" t="s">
        <v>924</v>
      </c>
      <c r="G23" s="151"/>
    </row>
    <row r="24" spans="2:7" ht="30" customHeight="1" x14ac:dyDescent="0.3">
      <c r="B24" s="101" t="s">
        <v>925</v>
      </c>
      <c r="C24" s="150" t="s">
        <v>926</v>
      </c>
      <c r="D24" s="150"/>
      <c r="E24" s="150"/>
      <c r="F24" s="151" t="s">
        <v>927</v>
      </c>
      <c r="G24" s="151"/>
    </row>
  </sheetData>
  <mergeCells count="17">
    <mergeCell ref="B1:G1"/>
    <mergeCell ref="B2:G2"/>
    <mergeCell ref="B8:G8"/>
    <mergeCell ref="B16:C16"/>
    <mergeCell ref="B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Bill of Quantities</vt:lpstr>
      <vt:lpstr>Labour Cost</vt:lpstr>
      <vt:lpstr>Supplier Analysis</vt:lpstr>
      <vt:lpstr>Professional Fees</vt:lpstr>
      <vt:lpstr>PO Tracker</vt:lpstr>
      <vt:lpstr>Budget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Teslim Akintunde</cp:lastModifiedBy>
  <cp:revision>1</cp:revision>
  <dcterms:created xsi:type="dcterms:W3CDTF">2026-04-16T11:22:01Z</dcterms:created>
  <dcterms:modified xsi:type="dcterms:W3CDTF">2026-04-20T15:29:10Z</dcterms:modified>
  <dc:language>en-US</dc:language>
</cp:coreProperties>
</file>